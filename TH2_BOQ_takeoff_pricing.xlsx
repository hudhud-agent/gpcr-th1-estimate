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-off manual (1231)" sheetId="1" state="visible" r:id="rId1"/>
    <sheet name="Auto-mapped (184)" sheetId="2" state="visible" r:id="rId2"/>
    <sheet name="Vendor recap" sheetId="3" state="visible" r:id="rId3"/>
    <sheet name="Notes" sheetId="4" state="visible" r:id="rId4"/>
  </sheets>
  <definedNames>
    <definedName name="_xlnm._FilterDatabase" localSheetId="0" hidden="1">'Take-off manual (1231)'!$A$1:$U$1232</definedName>
    <definedName name="_xlnm._FilterDatabase" localSheetId="1" hidden="1">'Auto-mapped (184)'!$A$1:$M$185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64" customWidth="1" min="4" max="4"/>
    <col width="7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12" customWidth="1" min="18" max="18"/>
    <col width="11" customWidth="1" min="19" max="19"/>
    <col width="13" customWidth="1" min="20" max="20"/>
    <col width="20" customWidth="1" min="21" max="21"/>
  </cols>
  <sheetData>
    <row r="1">
      <c r="A1" s="1" t="inlineStr">
        <is>
          <t>Section</t>
        </is>
      </c>
      <c r="B1" s="1" t="inlineStr">
        <is>
          <t>Group</t>
        </is>
      </c>
      <c r="C1" s="1" t="inlineStr">
        <is>
          <t>Code</t>
        </is>
      </c>
      <c r="D1" s="1" t="inlineStr">
        <is>
          <t>Description</t>
        </is>
      </c>
      <c r="E1" s="1" t="inlineStr">
        <is>
          <t>Unit</t>
        </is>
      </c>
      <c r="F1" s="1" t="inlineStr">
        <is>
          <t>4PLEX-B</t>
        </is>
      </c>
      <c r="G1" s="1" t="inlineStr">
        <is>
          <t>4PLEX-C</t>
        </is>
      </c>
      <c r="H1" s="1" t="inlineStr">
        <is>
          <t>6PLEX-B</t>
        </is>
      </c>
      <c r="I1" s="1" t="inlineStr">
        <is>
          <t>6PLEX-C</t>
        </is>
      </c>
      <c r="J1" s="1" t="inlineStr">
        <is>
          <t>8PLEX-B</t>
        </is>
      </c>
      <c r="K1" s="1" t="inlineStr">
        <is>
          <t>8PLEX-C</t>
        </is>
      </c>
      <c r="L1" s="1" t="inlineStr">
        <is>
          <t>5BR-E</t>
        </is>
      </c>
      <c r="M1" s="1" t="inlineStr">
        <is>
          <t>5BR-F</t>
        </is>
      </c>
      <c r="N1" s="1" t="inlineStr">
        <is>
          <t>COMM CTR</t>
        </is>
      </c>
      <c r="O1" s="1" t="inlineStr">
        <is>
          <t>GUARD HOUSE</t>
        </is>
      </c>
      <c r="P1" s="1" t="inlineStr">
        <is>
          <t>BOUNDARY WALL</t>
        </is>
      </c>
      <c r="Q1" s="1" t="inlineStr">
        <is>
          <t>Total Qty</t>
        </is>
      </c>
      <c r="R1" s="1" t="inlineStr">
        <is>
          <t>Cluster Qty (×plots)</t>
        </is>
      </c>
      <c r="S1" s="1" t="inlineStr">
        <is>
          <t>Rate (AED)</t>
        </is>
      </c>
      <c r="T1" s="1" t="inlineStr">
        <is>
          <t>Amount (AED)</t>
        </is>
      </c>
      <c r="U1" s="1" t="inlineStr">
        <is>
          <t>Notes</t>
        </is>
      </c>
    </row>
    <row r="2">
      <c r="A2" s="2" t="inlineStr">
        <is>
          <t>B</t>
        </is>
      </c>
      <c r="B2" s="2" t="inlineStr">
        <is>
          <t>DISPOSAL</t>
        </is>
      </c>
      <c r="C2" s="2" t="inlineStr">
        <is>
          <t>B</t>
        </is>
      </c>
      <c r="D2" s="2" t="inlineStr">
        <is>
          <t>Disposal to approved locations</t>
        </is>
      </c>
      <c r="E2" s="2" t="inlineStr">
        <is>
          <t>m³</t>
        </is>
      </c>
      <c r="F2" s="2" t="n">
        <v>135</v>
      </c>
      <c r="G2" s="2" t="n">
        <v>135</v>
      </c>
      <c r="H2" s="2" t="n">
        <v>185</v>
      </c>
      <c r="I2" s="2" t="n">
        <v>185</v>
      </c>
      <c r="J2" s="2" t="n">
        <v>291</v>
      </c>
      <c r="K2" s="2" t="n">
        <v>291</v>
      </c>
      <c r="L2" s="2" t="n">
        <v>67</v>
      </c>
      <c r="M2" s="2" t="n">
        <v>64</v>
      </c>
      <c r="N2" s="2" t="n">
        <v>924</v>
      </c>
      <c r="O2" s="2" t="n">
        <v>14</v>
      </c>
      <c r="P2" s="2" t="n">
        <v>0</v>
      </c>
      <c r="Q2" s="2" t="n">
        <v>2291</v>
      </c>
      <c r="R2" s="2" t="n">
        <v>20226</v>
      </c>
      <c r="S2" s="2" t="n"/>
      <c r="T2" s="2">
        <f>IF(OR(S2="",R2=0),"",ROUND(S2*R2,2))</f>
        <v/>
      </c>
      <c r="U2" s="2" t="inlineStr"/>
    </row>
    <row r="3">
      <c r="A3" s="2" t="inlineStr">
        <is>
          <t>B</t>
        </is>
      </c>
      <c r="B3" s="2" t="inlineStr">
        <is>
          <t>EXCAVATION</t>
        </is>
      </c>
      <c r="C3" s="2" t="inlineStr">
        <is>
          <t>A</t>
        </is>
      </c>
      <c r="D3" s="2" t="inlineStr">
        <is>
          <t>Excavation</t>
        </is>
      </c>
      <c r="E3" s="2" t="inlineStr">
        <is>
          <t>m³</t>
        </is>
      </c>
      <c r="F3" s="2" t="n">
        <v>326</v>
      </c>
      <c r="G3" s="2" t="n">
        <v>326</v>
      </c>
      <c r="H3" s="2" t="n">
        <v>476</v>
      </c>
      <c r="I3" s="2" t="n">
        <v>476</v>
      </c>
      <c r="J3" s="2" t="n">
        <v>639</v>
      </c>
      <c r="K3" s="2" t="n">
        <v>639</v>
      </c>
      <c r="L3" s="2" t="n">
        <v>154</v>
      </c>
      <c r="M3" s="2" t="n">
        <v>147</v>
      </c>
      <c r="N3" s="2" t="n">
        <v>1231</v>
      </c>
      <c r="O3" s="2" t="n">
        <v>35</v>
      </c>
      <c r="P3" s="2" t="n">
        <v>0</v>
      </c>
      <c r="Q3" s="2" t="n">
        <v>4449</v>
      </c>
      <c r="R3" s="2" t="n">
        <v>47681</v>
      </c>
      <c r="S3" s="2" t="n"/>
      <c r="T3" s="2">
        <f>IF(OR(S3="",R3=0),"",ROUND(S3*R3,2))</f>
        <v/>
      </c>
      <c r="U3" s="2" t="inlineStr"/>
    </row>
    <row r="4">
      <c r="A4" s="2" t="inlineStr">
        <is>
          <t>B</t>
        </is>
      </c>
      <c r="B4" s="2" t="inlineStr">
        <is>
          <t>FILLING</t>
        </is>
      </c>
      <c r="C4" s="2" t="inlineStr">
        <is>
          <t>C</t>
        </is>
      </c>
      <c r="D4" s="2" t="inlineStr">
        <is>
          <t>Filling to foundation, ground beam</t>
        </is>
      </c>
      <c r="E4" s="2" t="inlineStr">
        <is>
          <t>m³</t>
        </is>
      </c>
      <c r="F4" s="2" t="n">
        <v>191</v>
      </c>
      <c r="G4" s="2" t="n">
        <v>191</v>
      </c>
      <c r="H4" s="2" t="n">
        <v>291</v>
      </c>
      <c r="I4" s="2" t="n">
        <v>291</v>
      </c>
      <c r="J4" s="2" t="n">
        <v>348</v>
      </c>
      <c r="K4" s="2" t="n">
        <v>348</v>
      </c>
      <c r="L4" s="2" t="n">
        <v>87</v>
      </c>
      <c r="M4" s="2" t="n">
        <v>83</v>
      </c>
      <c r="N4" s="2" t="n">
        <v>307</v>
      </c>
      <c r="O4" s="2" t="n">
        <v>21</v>
      </c>
      <c r="P4" s="2" t="n">
        <v>0</v>
      </c>
      <c r="Q4" s="2" t="n">
        <v>2158</v>
      </c>
      <c r="R4" s="2" t="n">
        <v>27455</v>
      </c>
      <c r="S4" s="2" t="n"/>
      <c r="T4" s="2">
        <f>IF(OR(S4="",R4=0),"",ROUND(S4*R4,2))</f>
        <v/>
      </c>
      <c r="U4" s="2" t="inlineStr"/>
    </row>
    <row r="5">
      <c r="A5" s="2" t="inlineStr">
        <is>
          <t>B</t>
        </is>
      </c>
      <c r="B5" s="2" t="inlineStr">
        <is>
          <t>FILLING</t>
        </is>
      </c>
      <c r="C5" s="2" t="inlineStr">
        <is>
          <t>D</t>
        </is>
      </c>
      <c r="D5" s="2" t="inlineStr">
        <is>
          <t>General soil filling from graded level to gate level</t>
        </is>
      </c>
      <c r="E5" s="2" t="inlineStr">
        <is>
          <t>m³</t>
        </is>
      </c>
      <c r="F5" s="2" t="n">
        <v>493</v>
      </c>
      <c r="G5" s="2" t="n">
        <v>493</v>
      </c>
      <c r="H5" s="2" t="n">
        <v>624</v>
      </c>
      <c r="I5" s="2" t="n">
        <v>624</v>
      </c>
      <c r="J5" s="2" t="n">
        <v>847</v>
      </c>
      <c r="K5" s="2" t="n">
        <v>847</v>
      </c>
      <c r="L5" s="2" t="n">
        <v>288</v>
      </c>
      <c r="M5" s="2" t="n">
        <v>288</v>
      </c>
      <c r="N5" s="2" t="n">
        <v>340</v>
      </c>
      <c r="O5" s="2" t="n">
        <v>11</v>
      </c>
      <c r="P5" s="2" t="n">
        <v>0</v>
      </c>
      <c r="Q5" s="2" t="n">
        <v>4855</v>
      </c>
      <c r="R5" s="2" t="n">
        <v>67136</v>
      </c>
      <c r="S5" s="2" t="n"/>
      <c r="T5" s="2">
        <f>IF(OR(S5="",R5=0),"",ROUND(S5*R5,2))</f>
        <v/>
      </c>
      <c r="U5" s="2" t="inlineStr"/>
    </row>
    <row r="6">
      <c r="A6" s="2" t="inlineStr">
        <is>
          <t>B</t>
        </is>
      </c>
      <c r="B6" s="2" t="inlineStr">
        <is>
          <t>ROAD BASE</t>
        </is>
      </c>
      <c r="C6" s="2" t="inlineStr">
        <is>
          <t>D</t>
        </is>
      </c>
      <c r="D6" s="2" t="inlineStr">
        <is>
          <t>Road base, 250mm</t>
        </is>
      </c>
      <c r="E6" s="2" t="inlineStr">
        <is>
          <t>m³</t>
        </is>
      </c>
      <c r="F6" s="2" t="n">
        <v>47</v>
      </c>
      <c r="G6" s="2" t="n">
        <v>47</v>
      </c>
      <c r="H6" s="2" t="n">
        <v>52</v>
      </c>
      <c r="I6" s="2" t="n">
        <v>55</v>
      </c>
      <c r="J6" s="2" t="n">
        <v>74</v>
      </c>
      <c r="K6" s="2" t="n">
        <v>74</v>
      </c>
      <c r="L6" s="2" t="n">
        <v>26</v>
      </c>
      <c r="M6" s="2" t="n">
        <v>25</v>
      </c>
      <c r="N6" s="2" t="n">
        <v>0</v>
      </c>
      <c r="O6" s="2" t="n">
        <v>0</v>
      </c>
      <c r="P6" s="2" t="n">
        <v>0</v>
      </c>
      <c r="Q6" s="2" t="n">
        <v>400</v>
      </c>
      <c r="R6" s="2" t="n">
        <v>5963</v>
      </c>
      <c r="S6" s="2" t="n"/>
      <c r="T6" s="2">
        <f>IF(OR(S6="",R6=0),"",ROUND(S6*R6,2))</f>
        <v/>
      </c>
      <c r="U6" s="2" t="inlineStr"/>
    </row>
    <row r="7">
      <c r="A7" s="2" t="inlineStr">
        <is>
          <t>B</t>
        </is>
      </c>
      <c r="B7" s="2" t="inlineStr">
        <is>
          <t>TERMITE CONTROL</t>
        </is>
      </c>
      <c r="C7" s="2" t="inlineStr">
        <is>
          <t>A</t>
        </is>
      </c>
      <c r="D7" s="2" t="inlineStr">
        <is>
          <t>To horizontal surfaces</t>
        </is>
      </c>
      <c r="E7" s="2" t="inlineStr">
        <is>
          <t>m²</t>
        </is>
      </c>
      <c r="F7" s="2" t="n">
        <v>581</v>
      </c>
      <c r="G7" s="2" t="n">
        <v>581</v>
      </c>
      <c r="H7" s="2" t="n">
        <v>812</v>
      </c>
      <c r="I7" s="2" t="n">
        <v>823</v>
      </c>
      <c r="J7" s="2" t="n">
        <v>997</v>
      </c>
      <c r="K7" s="2" t="n">
        <v>997</v>
      </c>
      <c r="L7" s="2" t="n">
        <v>483</v>
      </c>
      <c r="M7" s="2" t="n">
        <v>475</v>
      </c>
      <c r="N7" s="2" t="n">
        <v>790</v>
      </c>
      <c r="O7" s="2" t="n">
        <v>39</v>
      </c>
      <c r="P7" s="2" t="n">
        <v>0</v>
      </c>
      <c r="Q7" s="2" t="n">
        <v>6578</v>
      </c>
      <c r="R7" s="2" t="n">
        <v>87918</v>
      </c>
      <c r="S7" s="2" t="n"/>
      <c r="T7" s="2">
        <f>IF(OR(S7="",R7=0),"",ROUND(S7*R7,2))</f>
        <v/>
      </c>
      <c r="U7" s="2" t="inlineStr"/>
    </row>
    <row r="8">
      <c r="A8" s="2" t="inlineStr">
        <is>
          <t>B</t>
        </is>
      </c>
      <c r="B8" s="2" t="inlineStr">
        <is>
          <t>TERMITE CONTROL</t>
        </is>
      </c>
      <c r="C8" s="2" t="inlineStr">
        <is>
          <t>B</t>
        </is>
      </c>
      <c r="D8" s="2" t="inlineStr">
        <is>
          <t>To vertical surfaces</t>
        </is>
      </c>
      <c r="E8" s="2" t="inlineStr">
        <is>
          <t>m²</t>
        </is>
      </c>
      <c r="F8" s="2" t="n">
        <v>499</v>
      </c>
      <c r="G8" s="2" t="n">
        <v>499</v>
      </c>
      <c r="H8" s="2" t="n">
        <v>642</v>
      </c>
      <c r="I8" s="2" t="n">
        <v>649</v>
      </c>
      <c r="J8" s="2" t="n">
        <v>1163</v>
      </c>
      <c r="K8" s="2" t="n">
        <v>1163</v>
      </c>
      <c r="L8" s="2" t="n">
        <v>306</v>
      </c>
      <c r="M8" s="2" t="n">
        <v>301</v>
      </c>
      <c r="N8" s="2" t="n">
        <v>874</v>
      </c>
      <c r="O8" s="2" t="n">
        <v>85</v>
      </c>
      <c r="P8" s="2" t="n">
        <v>0</v>
      </c>
      <c r="Q8" s="2" t="n">
        <v>6181</v>
      </c>
      <c r="R8" s="2" t="n">
        <v>74456</v>
      </c>
      <c r="S8" s="2" t="n"/>
      <c r="T8" s="2">
        <f>IF(OR(S8="",R8=0),"",ROUND(S8*R8,2))</f>
        <v/>
      </c>
      <c r="U8" s="2" t="inlineStr"/>
    </row>
    <row r="9">
      <c r="A9" s="2" t="inlineStr">
        <is>
          <t>C</t>
        </is>
      </c>
      <c r="B9" s="2" t="inlineStr">
        <is>
          <t>SUBSTRUCTURE</t>
        </is>
      </c>
      <c r="C9" s="2" t="inlineStr">
        <is>
          <t>A</t>
        </is>
      </c>
      <c r="D9" s="2" t="inlineStr">
        <is>
          <t>50mm thick blinding</t>
        </is>
      </c>
      <c r="E9" s="2" t="inlineStr">
        <is>
          <t>m³</t>
        </is>
      </c>
      <c r="F9" s="2" t="n">
        <v>27</v>
      </c>
      <c r="G9" s="2" t="n">
        <v>27</v>
      </c>
      <c r="H9" s="2" t="n">
        <v>39</v>
      </c>
      <c r="I9" s="2" t="n">
        <v>42</v>
      </c>
      <c r="J9" s="2" t="n">
        <v>55</v>
      </c>
      <c r="K9" s="2" t="n">
        <v>55</v>
      </c>
      <c r="L9" s="2" t="n">
        <v>18</v>
      </c>
      <c r="M9" s="2" t="n">
        <v>18</v>
      </c>
      <c r="N9" s="2" t="n">
        <v>40</v>
      </c>
      <c r="O9" s="2" t="n">
        <v>2</v>
      </c>
      <c r="P9" s="2" t="n">
        <v>0</v>
      </c>
      <c r="Q9" s="2" t="n">
        <v>323</v>
      </c>
      <c r="R9" s="2" t="n">
        <v>4177</v>
      </c>
      <c r="S9" s="2" t="n"/>
      <c r="T9" s="2">
        <f>IF(OR(S9="",R9=0),"",ROUND(S9*R9,2))</f>
        <v/>
      </c>
      <c r="U9" s="2" t="inlineStr"/>
    </row>
    <row r="10">
      <c r="A10" s="2" t="inlineStr">
        <is>
          <t>C</t>
        </is>
      </c>
      <c r="B10" s="2" t="inlineStr">
        <is>
          <t>SUBSTRUCTURE</t>
        </is>
      </c>
      <c r="C10" s="2" t="inlineStr">
        <is>
          <t>A</t>
        </is>
      </c>
      <c r="D10" s="2" t="inlineStr">
        <is>
          <t>Grade Slab, thickening</t>
        </is>
      </c>
      <c r="E10" s="2" t="inlineStr">
        <is>
          <t>Ton</t>
        </is>
      </c>
      <c r="F10" s="2" t="n">
        <v>2.8</v>
      </c>
      <c r="G10" s="2" t="n">
        <v>2.8</v>
      </c>
      <c r="H10" s="2" t="n">
        <v>3.1</v>
      </c>
      <c r="I10" s="2" t="n">
        <v>3.1</v>
      </c>
      <c r="J10" s="2" t="n">
        <v>3.47</v>
      </c>
      <c r="K10" s="2" t="n">
        <v>3.47</v>
      </c>
      <c r="L10" s="2" t="n">
        <v>1.3</v>
      </c>
      <c r="M10" s="2" t="n">
        <v>1.3</v>
      </c>
      <c r="N10" s="2" t="n">
        <v>2.13</v>
      </c>
      <c r="O10" s="2" t="n">
        <v>0</v>
      </c>
      <c r="P10" s="2" t="n">
        <v>0</v>
      </c>
      <c r="Q10" s="2" t="n">
        <v>23.47</v>
      </c>
      <c r="R10" s="2" t="n">
        <v>330.25</v>
      </c>
      <c r="S10" s="2" t="n"/>
      <c r="T10" s="2">
        <f>IF(OR(S10="",R10=0),"",ROUND(S10*R10,2))</f>
        <v/>
      </c>
      <c r="U10" s="2" t="inlineStr"/>
    </row>
    <row r="11">
      <c r="A11" s="2" t="inlineStr">
        <is>
          <t>C</t>
        </is>
      </c>
      <c r="B11" s="2" t="inlineStr">
        <is>
          <t>SUBSTRUCTURE</t>
        </is>
      </c>
      <c r="C11" s="2" t="inlineStr">
        <is>
          <t>B</t>
        </is>
      </c>
      <c r="D11" s="2" t="inlineStr">
        <is>
          <t>Slab on grade including thickening, sealant and 10mm thick filling bound at joints</t>
        </is>
      </c>
      <c r="E11" s="2" t="inlineStr">
        <is>
          <t>m³</t>
        </is>
      </c>
      <c r="F11" s="2" t="n">
        <v>70</v>
      </c>
      <c r="G11" s="2" t="n">
        <v>70</v>
      </c>
      <c r="H11" s="2" t="n">
        <v>67</v>
      </c>
      <c r="I11" s="2" t="n">
        <v>67</v>
      </c>
      <c r="J11" s="2" t="n">
        <v>116</v>
      </c>
      <c r="K11" s="2" t="n">
        <v>116</v>
      </c>
      <c r="L11" s="2" t="n">
        <v>34</v>
      </c>
      <c r="M11" s="2" t="n">
        <v>34</v>
      </c>
      <c r="N11" s="2" t="n">
        <v>68</v>
      </c>
      <c r="O11" s="2" t="n">
        <v>2</v>
      </c>
      <c r="P11" s="2" t="n">
        <v>0</v>
      </c>
      <c r="Q11" s="2" t="n">
        <v>644</v>
      </c>
      <c r="R11" s="2" t="n">
        <v>8387</v>
      </c>
      <c r="S11" s="2" t="n"/>
      <c r="T11" s="2">
        <f>IF(OR(S11="",R11=0),"",ROUND(S11*R11,2))</f>
        <v/>
      </c>
      <c r="U11" s="2" t="inlineStr"/>
    </row>
    <row r="12">
      <c r="A12" s="2" t="inlineStr">
        <is>
          <t>C</t>
        </is>
      </c>
      <c r="B12" s="2" t="inlineStr">
        <is>
          <t>SUBSTRUCTURE</t>
        </is>
      </c>
      <c r="C12" s="2" t="inlineStr">
        <is>
          <t>B</t>
        </is>
      </c>
      <c r="D12" s="2" t="inlineStr">
        <is>
          <t>Footing</t>
        </is>
      </c>
      <c r="E12" s="2" t="inlineStr">
        <is>
          <t>Ton</t>
        </is>
      </c>
      <c r="F12" s="2" t="n">
        <v>4.99</v>
      </c>
      <c r="G12" s="2" t="n">
        <v>4.99</v>
      </c>
      <c r="H12" s="2" t="n">
        <v>8.32</v>
      </c>
      <c r="I12" s="2" t="n">
        <v>8.460000000000001</v>
      </c>
      <c r="J12" s="2" t="n">
        <v>9.74</v>
      </c>
      <c r="K12" s="2" t="n">
        <v>9.74</v>
      </c>
      <c r="L12" s="2" t="n">
        <v>4.74</v>
      </c>
      <c r="M12" s="2" t="n">
        <v>4.52</v>
      </c>
      <c r="N12" s="2" t="n">
        <v>6.3</v>
      </c>
      <c r="O12" s="2" t="n">
        <v>0.28</v>
      </c>
      <c r="P12" s="2" t="n">
        <v>0</v>
      </c>
      <c r="Q12" s="2" t="n">
        <v>62.08</v>
      </c>
      <c r="R12" s="2" t="n">
        <v>845.95</v>
      </c>
      <c r="S12" s="2" t="n"/>
      <c r="T12" s="2">
        <f>IF(OR(S12="",R12=0),"",ROUND(S12*R12,2))</f>
        <v/>
      </c>
      <c r="U12" s="2" t="inlineStr"/>
    </row>
    <row r="13">
      <c r="A13" s="2" t="inlineStr">
        <is>
          <t>C</t>
        </is>
      </c>
      <c r="B13" s="2" t="inlineStr">
        <is>
          <t>SUBSTRUCTURE</t>
        </is>
      </c>
      <c r="C13" s="2" t="inlineStr">
        <is>
          <t>C</t>
        </is>
      </c>
      <c r="D13" s="2" t="inlineStr">
        <is>
          <t>Footing</t>
        </is>
      </c>
      <c r="E13" s="2" t="inlineStr">
        <is>
          <t>m³</t>
        </is>
      </c>
      <c r="F13" s="2" t="n">
        <v>58</v>
      </c>
      <c r="G13" s="2" t="n">
        <v>58</v>
      </c>
      <c r="H13" s="2" t="n">
        <v>88</v>
      </c>
      <c r="I13" s="2" t="n">
        <v>92</v>
      </c>
      <c r="J13" s="2" t="n">
        <v>127</v>
      </c>
      <c r="K13" s="2" t="n">
        <v>127</v>
      </c>
      <c r="L13" s="2" t="n">
        <v>42</v>
      </c>
      <c r="M13" s="2" t="n">
        <v>40</v>
      </c>
      <c r="N13" s="2" t="n">
        <v>77</v>
      </c>
      <c r="O13" s="2" t="n">
        <v>4</v>
      </c>
      <c r="P13" s="2" t="n">
        <v>0</v>
      </c>
      <c r="Q13" s="2" t="n">
        <v>713</v>
      </c>
      <c r="R13" s="2" t="n">
        <v>9299</v>
      </c>
      <c r="S13" s="2" t="n"/>
      <c r="T13" s="2">
        <f>IF(OR(S13="",R13=0),"",ROUND(S13*R13,2))</f>
        <v/>
      </c>
      <c r="U13" s="2" t="inlineStr"/>
    </row>
    <row r="14">
      <c r="A14" s="2" t="inlineStr">
        <is>
          <t>C</t>
        </is>
      </c>
      <c r="B14" s="2" t="inlineStr">
        <is>
          <t>SUBSTRUCTURE</t>
        </is>
      </c>
      <c r="C14" s="2" t="inlineStr">
        <is>
          <t>C</t>
        </is>
      </c>
      <c r="D14" s="2" t="inlineStr">
        <is>
          <t>Ground beam</t>
        </is>
      </c>
      <c r="E14" s="2" t="inlineStr">
        <is>
          <t>Ton</t>
        </is>
      </c>
      <c r="F14" s="2" t="n">
        <v>6.67</v>
      </c>
      <c r="G14" s="2" t="n">
        <v>6.67</v>
      </c>
      <c r="H14" s="2" t="n">
        <v>11.6</v>
      </c>
      <c r="I14" s="2" t="n">
        <v>11.6</v>
      </c>
      <c r="J14" s="2" t="n">
        <v>6.05</v>
      </c>
      <c r="K14" s="2" t="n">
        <v>6.05</v>
      </c>
      <c r="L14" s="2" t="n">
        <v>4.16</v>
      </c>
      <c r="M14" s="2" t="n">
        <v>4.16</v>
      </c>
      <c r="N14" s="2" t="n">
        <v>9.199999999999999</v>
      </c>
      <c r="O14" s="2" t="n">
        <v>0.44</v>
      </c>
      <c r="P14" s="2" t="n">
        <v>0</v>
      </c>
      <c r="Q14" s="2" t="n">
        <v>66.59999999999999</v>
      </c>
      <c r="R14" s="2" t="n">
        <v>959.55</v>
      </c>
      <c r="S14" s="2" t="n"/>
      <c r="T14" s="2">
        <f>IF(OR(S14="",R14=0),"",ROUND(S14*R14,2))</f>
        <v/>
      </c>
      <c r="U14" s="2" t="inlineStr"/>
    </row>
    <row r="15">
      <c r="A15" s="2" t="inlineStr">
        <is>
          <t>C</t>
        </is>
      </c>
      <c r="B15" s="2" t="inlineStr">
        <is>
          <t>SUBSTRUCTURE</t>
        </is>
      </c>
      <c r="C15" s="2" t="inlineStr">
        <is>
          <t>D</t>
        </is>
      </c>
      <c r="D15" s="2" t="inlineStr">
        <is>
          <t>Raft, Sump pit</t>
        </is>
      </c>
      <c r="E15" s="2" t="inlineStr">
        <is>
          <t>m³</t>
        </is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101</v>
      </c>
      <c r="O15" s="2" t="n">
        <v>0</v>
      </c>
      <c r="P15" s="2" t="n">
        <v>0</v>
      </c>
      <c r="Q15" s="2" t="n">
        <v>101</v>
      </c>
      <c r="R15" s="2" t="n">
        <v>101</v>
      </c>
      <c r="S15" s="2" t="n"/>
      <c r="T15" s="2">
        <f>IF(OR(S15="",R15=0),"",ROUND(S15*R15,2))</f>
        <v/>
      </c>
      <c r="U15" s="2" t="inlineStr"/>
    </row>
    <row r="16">
      <c r="A16" s="2" t="inlineStr">
        <is>
          <t>C</t>
        </is>
      </c>
      <c r="B16" s="2" t="inlineStr">
        <is>
          <t>SUBSTRUCTURE</t>
        </is>
      </c>
      <c r="C16" s="2" t="inlineStr">
        <is>
          <t>D</t>
        </is>
      </c>
      <c r="D16" s="2" t="inlineStr">
        <is>
          <t>Column Neck/ Column</t>
        </is>
      </c>
      <c r="E16" s="2" t="inlineStr">
        <is>
          <t>Ton</t>
        </is>
      </c>
      <c r="F16" s="2" t="n">
        <v>2.38</v>
      </c>
      <c r="G16" s="2" t="n">
        <v>2.38</v>
      </c>
      <c r="H16" s="2" t="n">
        <v>2.72</v>
      </c>
      <c r="I16" s="2" t="n">
        <v>2.72</v>
      </c>
      <c r="J16" s="2" t="n">
        <v>4.54</v>
      </c>
      <c r="K16" s="2" t="n">
        <v>4.54</v>
      </c>
      <c r="L16" s="2" t="n">
        <v>1.64</v>
      </c>
      <c r="M16" s="2" t="n">
        <v>1.64</v>
      </c>
      <c r="N16" s="2" t="n">
        <v>11.54</v>
      </c>
      <c r="O16" s="2" t="n">
        <v>0.26</v>
      </c>
      <c r="P16" s="2" t="n">
        <v>0</v>
      </c>
      <c r="Q16" s="2" t="n">
        <v>34.36</v>
      </c>
      <c r="R16" s="2" t="n">
        <v>339.26</v>
      </c>
      <c r="S16" s="2" t="n"/>
      <c r="T16" s="2">
        <f>IF(OR(S16="",R16=0),"",ROUND(S16*R16,2))</f>
        <v/>
      </c>
      <c r="U16" s="2" t="inlineStr"/>
    </row>
    <row r="17">
      <c r="A17" s="2" t="inlineStr">
        <is>
          <t>C</t>
        </is>
      </c>
      <c r="B17" s="2" t="inlineStr">
        <is>
          <t>SUBSTRUCTURE</t>
        </is>
      </c>
      <c r="C17" s="2" t="inlineStr">
        <is>
          <t>E</t>
        </is>
      </c>
      <c r="D17" s="2" t="inlineStr">
        <is>
          <t>Tie Beams</t>
        </is>
      </c>
      <c r="E17" s="2" t="inlineStr">
        <is>
          <t>m³</t>
        </is>
      </c>
      <c r="F17" s="2" t="n">
        <v>26</v>
      </c>
      <c r="G17" s="2" t="n">
        <v>26</v>
      </c>
      <c r="H17" s="2" t="n">
        <v>35</v>
      </c>
      <c r="I17" s="2" t="n">
        <v>35</v>
      </c>
      <c r="J17" s="2" t="n">
        <v>48</v>
      </c>
      <c r="K17" s="2" t="n">
        <v>48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218</v>
      </c>
      <c r="R17" s="2" t="n">
        <v>3095</v>
      </c>
      <c r="S17" s="2" t="n"/>
      <c r="T17" s="2">
        <f>IF(OR(S17="",R17=0),"",ROUND(S17*R17,2))</f>
        <v/>
      </c>
      <c r="U17" s="2" t="inlineStr"/>
    </row>
    <row r="18">
      <c r="A18" s="2" t="inlineStr">
        <is>
          <t>C</t>
        </is>
      </c>
      <c r="B18" s="2" t="inlineStr">
        <is>
          <t>SUBSTRUCTURE</t>
        </is>
      </c>
      <c r="C18" s="2" t="inlineStr">
        <is>
          <t>E</t>
        </is>
      </c>
      <c r="D18" s="2" t="inlineStr">
        <is>
          <t>Walls</t>
        </is>
      </c>
      <c r="E18" s="2" t="inlineStr">
        <is>
          <t>Ton</t>
        </is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7.9</v>
      </c>
      <c r="O18" s="2" t="n">
        <v>0</v>
      </c>
      <c r="P18" s="2" t="n">
        <v>0</v>
      </c>
      <c r="Q18" s="2" t="n">
        <v>7.9</v>
      </c>
      <c r="R18" s="2" t="n">
        <v>7.9</v>
      </c>
      <c r="S18" s="2" t="n"/>
      <c r="T18" s="2">
        <f>IF(OR(S18="",R18=0),"",ROUND(S18*R18,2))</f>
        <v/>
      </c>
      <c r="U18" s="2" t="inlineStr"/>
    </row>
    <row r="19">
      <c r="A19" s="2" t="inlineStr">
        <is>
          <t>C</t>
        </is>
      </c>
      <c r="B19" s="2" t="inlineStr">
        <is>
          <t>SUBSTRUCTURE</t>
        </is>
      </c>
      <c r="C19" s="2" t="inlineStr">
        <is>
          <t>F</t>
        </is>
      </c>
      <c r="D19" s="2" t="inlineStr">
        <is>
          <t>Ground beam</t>
        </is>
      </c>
      <c r="E19" s="2" t="inlineStr">
        <is>
          <t>m³</t>
        </is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18</v>
      </c>
      <c r="M19" s="2" t="n">
        <v>18</v>
      </c>
      <c r="N19" s="2" t="n">
        <v>38</v>
      </c>
      <c r="O19" s="2" t="n">
        <v>3</v>
      </c>
      <c r="P19" s="2" t="n">
        <v>0</v>
      </c>
      <c r="Q19" s="2" t="n">
        <v>77</v>
      </c>
      <c r="R19" s="2" t="n">
        <v>707</v>
      </c>
      <c r="S19" s="2" t="n"/>
      <c r="T19" s="2">
        <f>IF(OR(S19="",R19=0),"",ROUND(S19*R19,2))</f>
        <v/>
      </c>
      <c r="U19" s="2" t="inlineStr"/>
    </row>
    <row r="20">
      <c r="A20" s="2" t="inlineStr">
        <is>
          <t>C</t>
        </is>
      </c>
      <c r="B20" s="2" t="inlineStr">
        <is>
          <t>SUBSTRUCTURE</t>
        </is>
      </c>
      <c r="C20" s="2" t="inlineStr">
        <is>
          <t>F</t>
        </is>
      </c>
      <c r="D20" s="2" t="inlineStr">
        <is>
          <t>Suspended slab</t>
        </is>
      </c>
      <c r="E20" s="2" t="inlineStr">
        <is>
          <t>Ton</t>
        </is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3.73</v>
      </c>
      <c r="O20" s="2" t="n">
        <v>0</v>
      </c>
      <c r="P20" s="2" t="n">
        <v>0</v>
      </c>
      <c r="Q20" s="2" t="n">
        <v>3.73</v>
      </c>
      <c r="R20" s="2" t="n">
        <v>3.73</v>
      </c>
      <c r="S20" s="2" t="n"/>
      <c r="T20" s="2">
        <f>IF(OR(S20="",R20=0),"",ROUND(S20*R20,2))</f>
        <v/>
      </c>
      <c r="U20" s="2" t="inlineStr"/>
    </row>
    <row r="21">
      <c r="A21" s="2" t="inlineStr">
        <is>
          <t>C</t>
        </is>
      </c>
      <c r="B21" s="2" t="inlineStr">
        <is>
          <t>SUBSTRUCTURE</t>
        </is>
      </c>
      <c r="C21" s="2" t="inlineStr">
        <is>
          <t>G</t>
        </is>
      </c>
      <c r="D21" s="2" t="inlineStr">
        <is>
          <t>Column Neck/ Column</t>
        </is>
      </c>
      <c r="E21" s="2" t="inlineStr">
        <is>
          <t>m³</t>
        </is>
      </c>
      <c r="F21" s="2" t="n">
        <v>8</v>
      </c>
      <c r="G21" s="2" t="n">
        <v>8</v>
      </c>
      <c r="H21" s="2" t="n">
        <v>10</v>
      </c>
      <c r="I21" s="2" t="n">
        <v>10</v>
      </c>
      <c r="J21" s="2" t="n">
        <v>16</v>
      </c>
      <c r="K21" s="2" t="n">
        <v>16</v>
      </c>
      <c r="L21" s="2" t="n">
        <v>5</v>
      </c>
      <c r="M21" s="2" t="n">
        <v>5</v>
      </c>
      <c r="N21" s="2" t="n">
        <v>31</v>
      </c>
      <c r="O21" s="2" t="n">
        <v>1</v>
      </c>
      <c r="P21" s="2" t="n">
        <v>0</v>
      </c>
      <c r="Q21" s="2" t="n">
        <v>110</v>
      </c>
      <c r="R21" s="2" t="n">
        <v>1159</v>
      </c>
      <c r="S21" s="2" t="n"/>
      <c r="T21" s="2">
        <f>IF(OR(S21="",R21=0),"",ROUND(S21*R21,2))</f>
        <v/>
      </c>
      <c r="U21" s="2" t="inlineStr"/>
    </row>
    <row r="22">
      <c r="A22" s="2" t="inlineStr">
        <is>
          <t>C</t>
        </is>
      </c>
      <c r="B22" s="2" t="inlineStr">
        <is>
          <t>SUBSTRUCTURE</t>
        </is>
      </c>
      <c r="C22" s="2" t="inlineStr">
        <is>
          <t>G</t>
        </is>
      </c>
      <c r="D22" s="2" t="inlineStr">
        <is>
          <t>Raft</t>
        </is>
      </c>
      <c r="E22" s="2" t="inlineStr">
        <is>
          <t>Ton</t>
        </is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13.1</v>
      </c>
      <c r="O22" s="2" t="n">
        <v>0</v>
      </c>
      <c r="P22" s="2" t="n">
        <v>0</v>
      </c>
      <c r="Q22" s="2" t="n">
        <v>13.1</v>
      </c>
      <c r="R22" s="2" t="n">
        <v>13.1</v>
      </c>
      <c r="S22" s="2" t="n"/>
      <c r="T22" s="2">
        <f>IF(OR(S22="",R22=0),"",ROUND(S22*R22,2))</f>
        <v/>
      </c>
      <c r="U22" s="2" t="inlineStr"/>
    </row>
    <row r="23">
      <c r="A23" s="2" t="inlineStr">
        <is>
          <t>C</t>
        </is>
      </c>
      <c r="B23" s="2" t="inlineStr">
        <is>
          <t>SUBSTRUCTURE</t>
        </is>
      </c>
      <c r="C23" s="2" t="inlineStr">
        <is>
          <t>H</t>
        </is>
      </c>
      <c r="D23" s="2" t="inlineStr">
        <is>
          <t>Wall</t>
        </is>
      </c>
      <c r="E23" s="2" t="inlineStr">
        <is>
          <t>m³</t>
        </is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96</v>
      </c>
      <c r="O23" s="2" t="n">
        <v>0</v>
      </c>
      <c r="P23" s="2" t="n">
        <v>0</v>
      </c>
      <c r="Q23" s="2" t="n">
        <v>96</v>
      </c>
      <c r="R23" s="2" t="n">
        <v>96</v>
      </c>
      <c r="S23" s="2" t="n"/>
      <c r="T23" s="2">
        <f>IF(OR(S23="",R23=0),"",ROUND(S23*R23,2))</f>
        <v/>
      </c>
      <c r="U23" s="2" t="inlineStr"/>
    </row>
    <row r="24">
      <c r="A24" s="2" t="inlineStr">
        <is>
          <t>C</t>
        </is>
      </c>
      <c r="B24" s="2" t="inlineStr">
        <is>
          <t>SUBSTRUCTURE</t>
        </is>
      </c>
      <c r="C24" s="2" t="inlineStr">
        <is>
          <t>H</t>
        </is>
      </c>
      <c r="D24" s="2" t="inlineStr">
        <is>
          <t>1-layer A252 mesh</t>
        </is>
      </c>
      <c r="E24" s="2" t="inlineStr">
        <is>
          <t>m²</t>
        </is>
      </c>
      <c r="F24" s="2" t="n">
        <v>248</v>
      </c>
      <c r="G24" s="2" t="n">
        <v>248</v>
      </c>
      <c r="H24" s="2" t="n">
        <v>447</v>
      </c>
      <c r="I24" s="2" t="n">
        <v>447</v>
      </c>
      <c r="J24" s="2" t="n">
        <v>489</v>
      </c>
      <c r="K24" s="2" t="n">
        <v>489</v>
      </c>
      <c r="L24" s="2" t="n">
        <v>171</v>
      </c>
      <c r="M24" s="2" t="n">
        <v>171</v>
      </c>
      <c r="N24" s="2" t="n">
        <v>341</v>
      </c>
      <c r="O24" s="2" t="n">
        <v>18</v>
      </c>
      <c r="P24" s="2" t="n">
        <v>0</v>
      </c>
      <c r="Q24" s="2" t="n">
        <v>3069</v>
      </c>
      <c r="R24" s="2" t="n">
        <v>41119</v>
      </c>
      <c r="S24" s="2" t="n"/>
      <c r="T24" s="2">
        <f>IF(OR(S24="",R24=0),"",ROUND(S24*R24,2))</f>
        <v/>
      </c>
      <c r="U24" s="2" t="inlineStr"/>
    </row>
    <row r="25">
      <c r="A25" s="2" t="inlineStr">
        <is>
          <t>C</t>
        </is>
      </c>
      <c r="B25" s="2" t="inlineStr">
        <is>
          <t>SUBSTRUCTURE</t>
        </is>
      </c>
      <c r="C25" s="2" t="inlineStr">
        <is>
          <t>J</t>
        </is>
      </c>
      <c r="D25" s="2" t="inlineStr">
        <is>
          <t>Suspended slab (at G/F, sump pit)</t>
        </is>
      </c>
      <c r="E25" s="2" t="inlineStr">
        <is>
          <t>m³</t>
        </is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39</v>
      </c>
      <c r="O25" s="2" t="n">
        <v>0</v>
      </c>
      <c r="P25" s="2" t="n">
        <v>0</v>
      </c>
      <c r="Q25" s="2" t="n">
        <v>39</v>
      </c>
      <c r="R25" s="2" t="n">
        <v>39</v>
      </c>
      <c r="S25" s="2" t="n"/>
      <c r="T25" s="2">
        <f>IF(OR(S25="",R25=0),"",ROUND(S25*R25,2))</f>
        <v/>
      </c>
      <c r="U25" s="2" t="inlineStr"/>
    </row>
    <row r="26">
      <c r="A26" s="2" t="inlineStr">
        <is>
          <t>C</t>
        </is>
      </c>
      <c r="B26" s="2" t="inlineStr">
        <is>
          <t>SUBSTRUCTURE</t>
        </is>
      </c>
      <c r="C26" s="2" t="inlineStr">
        <is>
          <t>J</t>
        </is>
      </c>
      <c r="D26" s="2" t="inlineStr">
        <is>
          <t>2-layer A252 mesh</t>
        </is>
      </c>
      <c r="E26" s="2" t="inlineStr">
        <is>
          <t>m²</t>
        </is>
      </c>
      <c r="F26" s="2" t="n">
        <v>80</v>
      </c>
      <c r="G26" s="2" t="n">
        <v>80</v>
      </c>
      <c r="H26" s="2" t="n">
        <v>111</v>
      </c>
      <c r="I26" s="2" t="n">
        <v>111</v>
      </c>
      <c r="J26" s="2" t="n">
        <v>132</v>
      </c>
      <c r="K26" s="2" t="n">
        <v>132</v>
      </c>
      <c r="L26" s="2" t="n">
        <v>9</v>
      </c>
      <c r="M26" s="2" t="n">
        <v>9</v>
      </c>
      <c r="N26" s="2" t="n">
        <v>13</v>
      </c>
      <c r="O26" s="2" t="n">
        <v>0</v>
      </c>
      <c r="P26" s="2" t="n">
        <v>0</v>
      </c>
      <c r="Q26" s="2" t="n">
        <v>677</v>
      </c>
      <c r="R26" s="2" t="n">
        <v>9747</v>
      </c>
      <c r="S26" s="2" t="n"/>
      <c r="T26" s="2">
        <f>IF(OR(S26="",R26=0),"",ROUND(S26*R26,2))</f>
        <v/>
      </c>
      <c r="U26" s="2" t="inlineStr"/>
    </row>
    <row r="27">
      <c r="A27" s="2" t="inlineStr">
        <is>
          <t>C</t>
        </is>
      </c>
      <c r="B27" s="2" t="inlineStr">
        <is>
          <t>SUBSTRUCTURE</t>
        </is>
      </c>
      <c r="C27" s="2" t="inlineStr">
        <is>
          <t>K</t>
        </is>
      </c>
      <c r="D27" s="2" t="inlineStr">
        <is>
          <t>To sides of footings</t>
        </is>
      </c>
      <c r="E27" s="2" t="inlineStr">
        <is>
          <t>m²</t>
        </is>
      </c>
      <c r="F27" s="2" t="n">
        <v>131</v>
      </c>
      <c r="G27" s="2" t="n">
        <v>131</v>
      </c>
      <c r="H27" s="2" t="n">
        <v>192</v>
      </c>
      <c r="I27" s="2" t="n">
        <v>199</v>
      </c>
      <c r="J27" s="2" t="n">
        <v>258</v>
      </c>
      <c r="K27" s="2" t="n">
        <v>258</v>
      </c>
      <c r="L27" s="2" t="n">
        <v>76</v>
      </c>
      <c r="M27" s="2" t="n">
        <v>71</v>
      </c>
      <c r="N27" s="2" t="n">
        <v>115</v>
      </c>
      <c r="O27" s="2" t="n">
        <v>13</v>
      </c>
      <c r="P27" s="2" t="n">
        <v>0</v>
      </c>
      <c r="Q27" s="2" t="n">
        <v>1444</v>
      </c>
      <c r="R27" s="2" t="n">
        <v>19469</v>
      </c>
      <c r="S27" s="2" t="n"/>
      <c r="T27" s="2">
        <f>IF(OR(S27="",R27=0),"",ROUND(S27*R27,2))</f>
        <v/>
      </c>
      <c r="U27" s="2" t="inlineStr"/>
    </row>
    <row r="28">
      <c r="A28" s="2" t="inlineStr">
        <is>
          <t>C</t>
        </is>
      </c>
      <c r="B28" s="2" t="inlineStr">
        <is>
          <t>SUBSTRUCTURE</t>
        </is>
      </c>
      <c r="C28" s="2" t="inlineStr">
        <is>
          <t>L</t>
        </is>
      </c>
      <c r="D28" s="2" t="inlineStr">
        <is>
          <t>To sides of ground beams</t>
        </is>
      </c>
      <c r="E28" s="2" t="inlineStr">
        <is>
          <t>m²</t>
        </is>
      </c>
      <c r="F28" s="2" t="n">
        <v>201</v>
      </c>
      <c r="G28" s="2" t="n">
        <v>201</v>
      </c>
      <c r="H28" s="2" t="n">
        <v>269</v>
      </c>
      <c r="I28" s="2" t="n">
        <v>269</v>
      </c>
      <c r="J28" s="2" t="n">
        <v>367</v>
      </c>
      <c r="K28" s="2" t="n">
        <v>367</v>
      </c>
      <c r="L28" s="2" t="n">
        <v>137</v>
      </c>
      <c r="M28" s="2" t="n">
        <v>137</v>
      </c>
      <c r="N28" s="2" t="n">
        <v>234</v>
      </c>
      <c r="O28" s="2" t="n">
        <v>20</v>
      </c>
      <c r="P28" s="2" t="n">
        <v>0</v>
      </c>
      <c r="Q28" s="2" t="n">
        <v>2202</v>
      </c>
      <c r="R28" s="2" t="n">
        <v>29123</v>
      </c>
      <c r="S28" s="2" t="n"/>
      <c r="T28" s="2">
        <f>IF(OR(S28="",R28=0),"",ROUND(S28*R28,2))</f>
        <v/>
      </c>
      <c r="U28" s="2" t="inlineStr"/>
    </row>
    <row r="29">
      <c r="A29" s="2" t="inlineStr">
        <is>
          <t>C</t>
        </is>
      </c>
      <c r="B29" s="2" t="inlineStr">
        <is>
          <t>SUBSTRUCTURE</t>
        </is>
      </c>
      <c r="C29" s="2" t="inlineStr">
        <is>
          <t>M</t>
        </is>
      </c>
      <c r="D29" s="2" t="inlineStr">
        <is>
          <t>To sides of slab on grade</t>
        </is>
      </c>
      <c r="E29" s="2" t="inlineStr">
        <is>
          <t>m²</t>
        </is>
      </c>
      <c r="F29" s="2" t="n">
        <v>65</v>
      </c>
      <c r="G29" s="2" t="n">
        <v>65</v>
      </c>
      <c r="H29" s="2" t="n">
        <v>61</v>
      </c>
      <c r="I29" s="2" t="n">
        <v>61</v>
      </c>
      <c r="J29" s="2" t="n">
        <v>27</v>
      </c>
      <c r="K29" s="2" t="n">
        <v>27</v>
      </c>
      <c r="L29" s="2" t="n">
        <v>8</v>
      </c>
      <c r="M29" s="2" t="n">
        <v>8</v>
      </c>
      <c r="N29" s="2" t="n">
        <v>0</v>
      </c>
      <c r="O29" s="2" t="n">
        <v>2</v>
      </c>
      <c r="P29" s="2" t="n">
        <v>0</v>
      </c>
      <c r="Q29" s="2" t="n">
        <v>324</v>
      </c>
      <c r="R29" s="2" t="n">
        <v>5514</v>
      </c>
      <c r="S29" s="2" t="n"/>
      <c r="T29" s="2">
        <f>IF(OR(S29="",R29=0),"",ROUND(S29*R29,2))</f>
        <v/>
      </c>
      <c r="U29" s="2" t="inlineStr"/>
    </row>
    <row r="30">
      <c r="A30" s="2" t="inlineStr">
        <is>
          <t>C</t>
        </is>
      </c>
      <c r="B30" s="2" t="inlineStr">
        <is>
          <t>SUBSTRUCTURE</t>
        </is>
      </c>
      <c r="C30" s="2" t="inlineStr">
        <is>
          <t>N</t>
        </is>
      </c>
      <c r="D30" s="2" t="inlineStr">
        <is>
          <t>To sides of neck columns/ columns</t>
        </is>
      </c>
      <c r="E30" s="2" t="inlineStr">
        <is>
          <t>m²</t>
        </is>
      </c>
      <c r="F30" s="2" t="n">
        <v>39</v>
      </c>
      <c r="G30" s="2" t="n">
        <v>39</v>
      </c>
      <c r="H30" s="2" t="n">
        <v>122</v>
      </c>
      <c r="I30" s="2" t="n">
        <v>122</v>
      </c>
      <c r="J30" s="2" t="n">
        <v>175</v>
      </c>
      <c r="K30" s="2" t="n">
        <v>175</v>
      </c>
      <c r="L30" s="2" t="n">
        <v>48</v>
      </c>
      <c r="M30" s="2" t="n">
        <v>48</v>
      </c>
      <c r="N30" s="2" t="n">
        <v>252</v>
      </c>
      <c r="O30" s="2" t="n">
        <v>8</v>
      </c>
      <c r="P30" s="2" t="n">
        <v>0</v>
      </c>
      <c r="Q30" s="2" t="n">
        <v>1028</v>
      </c>
      <c r="R30" s="2" t="n">
        <v>11037</v>
      </c>
      <c r="S30" s="2" t="n"/>
      <c r="T30" s="2">
        <f>IF(OR(S30="",R30=0),"",ROUND(S30*R30,2))</f>
        <v/>
      </c>
      <c r="U30" s="2" t="inlineStr"/>
    </row>
    <row r="31">
      <c r="A31" s="2" t="inlineStr">
        <is>
          <t>C</t>
        </is>
      </c>
      <c r="B31" s="2" t="inlineStr">
        <is>
          <t>SUBSTRUCTURE</t>
        </is>
      </c>
      <c r="C31" s="2" t="inlineStr">
        <is>
          <t>P</t>
        </is>
      </c>
      <c r="D31" s="2" t="inlineStr">
        <is>
          <t>To sides of walls</t>
        </is>
      </c>
      <c r="E31" s="2" t="inlineStr">
        <is>
          <t>m²</t>
        </is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492</v>
      </c>
      <c r="O31" s="2" t="n">
        <v>0</v>
      </c>
      <c r="P31" s="2" t="n">
        <v>0</v>
      </c>
      <c r="Q31" s="2" t="n">
        <v>492</v>
      </c>
      <c r="R31" s="2" t="n">
        <v>492</v>
      </c>
      <c r="S31" s="2" t="n"/>
      <c r="T31" s="2">
        <f>IF(OR(S31="",R31=0),"",ROUND(S31*R31,2))</f>
        <v/>
      </c>
      <c r="U31" s="2" t="inlineStr"/>
    </row>
    <row r="32">
      <c r="A32" s="2" t="inlineStr">
        <is>
          <t>C</t>
        </is>
      </c>
      <c r="B32" s="2" t="inlineStr">
        <is>
          <t>SUBSTRUCTURE</t>
        </is>
      </c>
      <c r="C32" s="2" t="inlineStr">
        <is>
          <t>Q</t>
        </is>
      </c>
      <c r="D32" s="2" t="inlineStr">
        <is>
          <t>To suspended slab</t>
        </is>
      </c>
      <c r="E32" s="2" t="inlineStr">
        <is>
          <t>m²</t>
        </is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181</v>
      </c>
      <c r="O32" s="2" t="n">
        <v>0</v>
      </c>
      <c r="P32" s="2" t="n">
        <v>0</v>
      </c>
      <c r="Q32" s="2" t="n">
        <v>181</v>
      </c>
      <c r="R32" s="2" t="n">
        <v>181</v>
      </c>
      <c r="S32" s="2" t="n"/>
      <c r="T32" s="2">
        <f>IF(OR(S32="",R32=0),"",ROUND(S32*R32,2))</f>
        <v/>
      </c>
      <c r="U32" s="2" t="inlineStr"/>
    </row>
    <row r="33">
      <c r="A33" s="2" t="inlineStr">
        <is>
          <t>C</t>
        </is>
      </c>
      <c r="B33" s="2" t="inlineStr">
        <is>
          <t>SUBSTRUCTURE</t>
        </is>
      </c>
      <c r="C33" s="2" t="inlineStr">
        <is>
          <t>R</t>
        </is>
      </c>
      <c r="D33" s="2" t="inlineStr">
        <is>
          <t>To sides of raft</t>
        </is>
      </c>
      <c r="E33" s="2" t="inlineStr">
        <is>
          <t>m²</t>
        </is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81</v>
      </c>
      <c r="O33" s="2" t="n">
        <v>0</v>
      </c>
      <c r="P33" s="2" t="n">
        <v>0</v>
      </c>
      <c r="Q33" s="2" t="n">
        <v>81</v>
      </c>
      <c r="R33" s="2" t="n">
        <v>81</v>
      </c>
      <c r="S33" s="2" t="n"/>
      <c r="T33" s="2">
        <f>IF(OR(S33="",R33=0),"",ROUND(S33*R33,2))</f>
        <v/>
      </c>
      <c r="U33" s="2" t="inlineStr"/>
    </row>
    <row r="34">
      <c r="A34" s="2" t="inlineStr">
        <is>
          <t>C</t>
        </is>
      </c>
      <c r="B34" s="2" t="inlineStr">
        <is>
          <t>SUNDRIES</t>
        </is>
      </c>
      <c r="C34" s="2" t="inlineStr">
        <is>
          <t>A</t>
        </is>
      </c>
      <c r="D34" s="2" t="inlineStr">
        <is>
          <t>Lintel - 4Plex</t>
        </is>
      </c>
      <c r="E34" s="2" t="inlineStr">
        <is>
          <t>m</t>
        </is>
      </c>
      <c r="F34" s="2" t="n">
        <v>62</v>
      </c>
      <c r="G34" s="2" t="n">
        <v>62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124</v>
      </c>
      <c r="R34" s="2" t="n">
        <v>2294</v>
      </c>
      <c r="S34" s="2" t="n"/>
      <c r="T34" s="2">
        <f>IF(OR(S34="",R34=0),"",ROUND(S34*R34,2))</f>
        <v/>
      </c>
      <c r="U34" s="2" t="inlineStr"/>
    </row>
    <row r="35">
      <c r="A35" s="2" t="inlineStr">
        <is>
          <t>C</t>
        </is>
      </c>
      <c r="B35" s="2" t="inlineStr">
        <is>
          <t>SUNDRIES</t>
        </is>
      </c>
      <c r="C35" s="2" t="inlineStr">
        <is>
          <t>B</t>
        </is>
      </c>
      <c r="D35" s="2" t="inlineStr">
        <is>
          <t>Lintel - 6Plex</t>
        </is>
      </c>
      <c r="E35" s="2" t="inlineStr">
        <is>
          <t>m</t>
        </is>
      </c>
      <c r="F35" s="2" t="n">
        <v>0</v>
      </c>
      <c r="G35" s="2" t="n">
        <v>0</v>
      </c>
      <c r="H35" s="2" t="n">
        <v>90</v>
      </c>
      <c r="I35" s="2" t="n">
        <v>90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180</v>
      </c>
      <c r="R35" s="2" t="n">
        <v>3510</v>
      </c>
      <c r="S35" s="2" t="n"/>
      <c r="T35" s="2">
        <f>IF(OR(S35="",R35=0),"",ROUND(S35*R35,2))</f>
        <v/>
      </c>
      <c r="U35" s="2" t="inlineStr"/>
    </row>
    <row r="36">
      <c r="A36" s="2" t="inlineStr">
        <is>
          <t>C</t>
        </is>
      </c>
      <c r="B36" s="2" t="inlineStr">
        <is>
          <t>SUNDRIES</t>
        </is>
      </c>
      <c r="C36" s="2" t="inlineStr">
        <is>
          <t>C</t>
        </is>
      </c>
      <c r="D36" s="2" t="inlineStr">
        <is>
          <t>Lintel - 8Plex</t>
        </is>
      </c>
      <c r="E36" s="2" t="inlineStr">
        <is>
          <t>m</t>
        </is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118</v>
      </c>
      <c r="K36" s="2" t="n">
        <v>118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236</v>
      </c>
      <c r="R36" s="2" t="n">
        <v>1888</v>
      </c>
      <c r="S36" s="2" t="n"/>
      <c r="T36" s="2">
        <f>IF(OR(S36="",R36=0),"",ROUND(S36*R36,2))</f>
        <v/>
      </c>
      <c r="U36" s="2" t="inlineStr"/>
    </row>
    <row r="37">
      <c r="A37" s="2" t="inlineStr">
        <is>
          <t>C</t>
        </is>
      </c>
      <c r="B37" s="2" t="inlineStr">
        <is>
          <t>SUNDRIES</t>
        </is>
      </c>
      <c r="C37" s="2" t="inlineStr">
        <is>
          <t>D</t>
        </is>
      </c>
      <c r="D37" s="2" t="inlineStr">
        <is>
          <t>Lintel - 5Br</t>
        </is>
      </c>
      <c r="E37" s="2" t="inlineStr">
        <is>
          <t>m</t>
        </is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42</v>
      </c>
      <c r="M37" s="2" t="n">
        <v>42</v>
      </c>
      <c r="N37" s="2" t="n">
        <v>0</v>
      </c>
      <c r="O37" s="2" t="n">
        <v>0</v>
      </c>
      <c r="P37" s="2" t="n">
        <v>0</v>
      </c>
      <c r="Q37" s="2" t="n">
        <v>84</v>
      </c>
      <c r="R37" s="2" t="n">
        <v>1554</v>
      </c>
      <c r="S37" s="2" t="n"/>
      <c r="T37" s="2">
        <f>IF(OR(S37="",R37=0),"",ROUND(S37*R37,2))</f>
        <v/>
      </c>
      <c r="U37" s="2" t="inlineStr"/>
    </row>
    <row r="38">
      <c r="A38" s="2" t="inlineStr">
        <is>
          <t>C</t>
        </is>
      </c>
      <c r="B38" s="2" t="inlineStr">
        <is>
          <t>SUNDRIES</t>
        </is>
      </c>
      <c r="C38" s="2" t="inlineStr">
        <is>
          <t>E</t>
        </is>
      </c>
      <c r="D38" s="2" t="inlineStr">
        <is>
          <t>Lintel- Commumity Center</t>
        </is>
      </c>
      <c r="E38" s="2" t="inlineStr">
        <is>
          <t>m</t>
        </is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37</v>
      </c>
      <c r="O38" s="2" t="n">
        <v>0</v>
      </c>
      <c r="P38" s="2" t="n">
        <v>0</v>
      </c>
      <c r="Q38" s="2" t="n">
        <v>37</v>
      </c>
      <c r="R38" s="2" t="n">
        <v>37</v>
      </c>
      <c r="S38" s="2" t="n"/>
      <c r="T38" s="2">
        <f>IF(OR(S38="",R38=0),"",ROUND(S38*R38,2))</f>
        <v/>
      </c>
      <c r="U38" s="2" t="inlineStr"/>
    </row>
    <row r="39">
      <c r="A39" s="2" t="inlineStr">
        <is>
          <t>C</t>
        </is>
      </c>
      <c r="B39" s="2" t="inlineStr">
        <is>
          <t>SUNDRIES</t>
        </is>
      </c>
      <c r="C39" s="2" t="inlineStr">
        <is>
          <t>F</t>
        </is>
      </c>
      <c r="D39" s="2" t="inlineStr">
        <is>
          <t>Lintel- Guard Room</t>
        </is>
      </c>
      <c r="E39" s="2" t="inlineStr">
        <is>
          <t>m</t>
        </is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3</v>
      </c>
      <c r="P39" s="2" t="n">
        <v>0</v>
      </c>
      <c r="Q39" s="2" t="n">
        <v>3</v>
      </c>
      <c r="R39" s="2" t="n">
        <v>3</v>
      </c>
      <c r="S39" s="2" t="n"/>
      <c r="T39" s="2">
        <f>IF(OR(S39="",R39=0),"",ROUND(S39*R39,2))</f>
        <v/>
      </c>
      <c r="U39" s="2" t="inlineStr"/>
    </row>
    <row r="40">
      <c r="A40" s="2" t="inlineStr">
        <is>
          <t>C</t>
        </is>
      </c>
      <c r="B40" s="2" t="inlineStr">
        <is>
          <t>SUNDRIES</t>
        </is>
      </c>
      <c r="C40" s="2" t="inlineStr">
        <is>
          <t>G</t>
        </is>
      </c>
      <c r="D40" s="2" t="inlineStr">
        <is>
          <t>Machine and Equipment Base - 4Plex</t>
        </is>
      </c>
      <c r="E40" s="2" t="inlineStr">
        <is>
          <t>Item</t>
        </is>
      </c>
      <c r="F40" s="2" t="n">
        <v>1</v>
      </c>
      <c r="G40" s="2" t="n">
        <v>1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2</v>
      </c>
      <c r="R40" s="2" t="n">
        <v>37</v>
      </c>
      <c r="S40" s="2" t="n"/>
      <c r="T40" s="2">
        <f>IF(OR(S40="",R40=0),"",ROUND(S40*R40,2))</f>
        <v/>
      </c>
      <c r="U40" s="2" t="inlineStr"/>
    </row>
    <row r="41">
      <c r="A41" s="2" t="inlineStr">
        <is>
          <t>C</t>
        </is>
      </c>
      <c r="B41" s="2" t="inlineStr">
        <is>
          <t>SUNDRIES</t>
        </is>
      </c>
      <c r="C41" s="2" t="inlineStr">
        <is>
          <t>H</t>
        </is>
      </c>
      <c r="D41" s="2" t="inlineStr">
        <is>
          <t>Machine and Equipment Base - 6Plex</t>
        </is>
      </c>
      <c r="E41" s="2" t="inlineStr">
        <is>
          <t>Item</t>
        </is>
      </c>
      <c r="F41" s="2" t="n">
        <v>0</v>
      </c>
      <c r="G41" s="2" t="n">
        <v>0</v>
      </c>
      <c r="H41" s="2" t="n">
        <v>1</v>
      </c>
      <c r="I41" s="2" t="n">
        <v>1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2</v>
      </c>
      <c r="R41" s="2" t="n">
        <v>39</v>
      </c>
      <c r="S41" s="2" t="n"/>
      <c r="T41" s="2">
        <f>IF(OR(S41="",R41=0),"",ROUND(S41*R41,2))</f>
        <v/>
      </c>
      <c r="U41" s="2" t="inlineStr"/>
    </row>
    <row r="42">
      <c r="A42" s="2" t="inlineStr">
        <is>
          <t>C</t>
        </is>
      </c>
      <c r="B42" s="2" t="inlineStr">
        <is>
          <t>SUNDRIES</t>
        </is>
      </c>
      <c r="C42" s="2" t="inlineStr">
        <is>
          <t>J</t>
        </is>
      </c>
      <c r="D42" s="2" t="inlineStr">
        <is>
          <t>Machine and Equipment Base - 8Plex</t>
        </is>
      </c>
      <c r="E42" s="2" t="inlineStr">
        <is>
          <t>Item</t>
        </is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1</v>
      </c>
      <c r="K42" s="2" t="n">
        <v>1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2</v>
      </c>
      <c r="R42" s="2" t="n">
        <v>16</v>
      </c>
      <c r="S42" s="2" t="n"/>
      <c r="T42" s="2">
        <f>IF(OR(S42="",R42=0),"",ROUND(S42*R42,2))</f>
        <v/>
      </c>
      <c r="U42" s="2" t="inlineStr"/>
    </row>
    <row r="43">
      <c r="A43" s="2" t="inlineStr">
        <is>
          <t>C</t>
        </is>
      </c>
      <c r="B43" s="2" t="inlineStr">
        <is>
          <t>SUNDRIES</t>
        </is>
      </c>
      <c r="C43" s="2" t="inlineStr">
        <is>
          <t>K</t>
        </is>
      </c>
      <c r="D43" s="2" t="inlineStr">
        <is>
          <t>Machine and Equipment Base - 5BR</t>
        </is>
      </c>
      <c r="E43" s="2" t="inlineStr">
        <is>
          <t>Item</t>
        </is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1</v>
      </c>
      <c r="M43" s="2" t="n">
        <v>1</v>
      </c>
      <c r="N43" s="2" t="n">
        <v>0</v>
      </c>
      <c r="O43" s="2" t="n">
        <v>0</v>
      </c>
      <c r="P43" s="2" t="n">
        <v>0</v>
      </c>
      <c r="Q43" s="2" t="n">
        <v>2</v>
      </c>
      <c r="R43" s="2" t="n">
        <v>37</v>
      </c>
      <c r="S43" s="2" t="n"/>
      <c r="T43" s="2">
        <f>IF(OR(S43="",R43=0),"",ROUND(S43*R43,2))</f>
        <v/>
      </c>
      <c r="U43" s="2" t="inlineStr"/>
    </row>
    <row r="44">
      <c r="A44" s="2" t="inlineStr">
        <is>
          <t>C</t>
        </is>
      </c>
      <c r="B44" s="2" t="inlineStr">
        <is>
          <t>SUNDRIES</t>
        </is>
      </c>
      <c r="C44" s="2" t="inlineStr">
        <is>
          <t>L</t>
        </is>
      </c>
      <c r="D44" s="2" t="inlineStr">
        <is>
          <t>Machine and Equipment Base - Community Center</t>
        </is>
      </c>
      <c r="E44" s="2" t="inlineStr">
        <is>
          <t>Item</t>
        </is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1</v>
      </c>
      <c r="O44" s="2" t="n">
        <v>0</v>
      </c>
      <c r="P44" s="2" t="n">
        <v>0</v>
      </c>
      <c r="Q44" s="2" t="n">
        <v>1</v>
      </c>
      <c r="R44" s="2" t="n">
        <v>1</v>
      </c>
      <c r="S44" s="2" t="n"/>
      <c r="T44" s="2">
        <f>IF(OR(S44="",R44=0),"",ROUND(S44*R44,2))</f>
        <v/>
      </c>
      <c r="U44" s="2" t="inlineStr"/>
    </row>
    <row r="45">
      <c r="A45" s="2" t="inlineStr">
        <is>
          <t>C</t>
        </is>
      </c>
      <c r="B45" s="2" t="inlineStr">
        <is>
          <t>SUNDRIES</t>
        </is>
      </c>
      <c r="C45" s="2" t="inlineStr">
        <is>
          <t>M</t>
        </is>
      </c>
      <c r="D45" s="2" t="inlineStr">
        <is>
          <t>Machine and Equipment Base - Guard Room</t>
        </is>
      </c>
      <c r="E45" s="2" t="inlineStr">
        <is>
          <t>Item</t>
        </is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1</v>
      </c>
      <c r="P45" s="2" t="n">
        <v>0</v>
      </c>
      <c r="Q45" s="2" t="n">
        <v>1</v>
      </c>
      <c r="R45" s="2" t="n">
        <v>1</v>
      </c>
      <c r="S45" s="2" t="n"/>
      <c r="T45" s="2">
        <f>IF(OR(S45="",R45=0),"",ROUND(S45*R45,2))</f>
        <v/>
      </c>
      <c r="U45" s="2" t="inlineStr"/>
    </row>
    <row r="46">
      <c r="A46" s="2" t="inlineStr">
        <is>
          <t>C</t>
        </is>
      </c>
      <c r="B46" s="2" t="inlineStr">
        <is>
          <t>SUNDRIES</t>
        </is>
      </c>
      <c r="C46" s="2" t="inlineStr">
        <is>
          <t>N</t>
        </is>
      </c>
      <c r="D46" s="2" t="inlineStr">
        <is>
          <t>200mm Solid block below peripheral ground beams</t>
        </is>
      </c>
      <c r="E46" s="2" t="inlineStr">
        <is>
          <t>m²</t>
        </is>
      </c>
      <c r="F46" s="2" t="n">
        <v>96</v>
      </c>
      <c r="G46" s="2" t="n">
        <v>96</v>
      </c>
      <c r="H46" s="2" t="n">
        <v>125</v>
      </c>
      <c r="I46" s="2" t="n">
        <v>125</v>
      </c>
      <c r="J46" s="2" t="n">
        <v>131</v>
      </c>
      <c r="K46" s="2" t="n">
        <v>131</v>
      </c>
      <c r="L46" s="2" t="n">
        <v>3</v>
      </c>
      <c r="M46" s="2" t="n">
        <v>3</v>
      </c>
      <c r="N46" s="2" t="n">
        <v>91</v>
      </c>
      <c r="O46" s="2" t="n">
        <v>12</v>
      </c>
      <c r="P46" s="2" t="n">
        <v>0</v>
      </c>
      <c r="Q46" s="2" t="n">
        <v>813</v>
      </c>
      <c r="R46" s="2" t="n">
        <v>10737</v>
      </c>
      <c r="S46" s="2" t="n"/>
      <c r="T46" s="2">
        <f>IF(OR(S46="",R46=0),"",ROUND(S46*R46,2))</f>
        <v/>
      </c>
      <c r="U46" s="2" t="inlineStr"/>
    </row>
    <row r="47">
      <c r="A47" s="2" t="inlineStr">
        <is>
          <t>C</t>
        </is>
      </c>
      <c r="B47" s="2" t="inlineStr">
        <is>
          <t>SUNDRIES</t>
        </is>
      </c>
      <c r="C47" s="2" t="inlineStr">
        <is>
          <t>P</t>
        </is>
      </c>
      <c r="D47" s="2" t="inlineStr">
        <is>
          <t>Water stop</t>
        </is>
      </c>
      <c r="E47" s="2" t="inlineStr">
        <is>
          <t>m</t>
        </is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52</v>
      </c>
      <c r="O47" s="2" t="n">
        <v>0</v>
      </c>
      <c r="P47" s="2" t="n">
        <v>0</v>
      </c>
      <c r="Q47" s="2" t="n">
        <v>52</v>
      </c>
      <c r="R47" s="2" t="n">
        <v>52</v>
      </c>
      <c r="S47" s="2" t="n"/>
      <c r="T47" s="2">
        <f>IF(OR(S47="",R47=0),"",ROUND(S47*R47,2))</f>
        <v/>
      </c>
      <c r="U47" s="2" t="inlineStr"/>
    </row>
    <row r="48">
      <c r="A48" s="2" t="inlineStr">
        <is>
          <t>C</t>
        </is>
      </c>
      <c r="B48" s="2" t="inlineStr">
        <is>
          <t>SUPERSTRUCTURE</t>
        </is>
      </c>
      <c r="C48" s="2" t="inlineStr">
        <is>
          <t>A</t>
        </is>
      </c>
      <c r="D48" s="2" t="inlineStr">
        <is>
          <t>Column/ Concrete post</t>
        </is>
      </c>
      <c r="E48" s="2" t="inlineStr">
        <is>
          <t>m³</t>
        </is>
      </c>
      <c r="F48" s="2" t="n">
        <v>36</v>
      </c>
      <c r="G48" s="2" t="n">
        <v>37</v>
      </c>
      <c r="H48" s="2" t="n">
        <v>50</v>
      </c>
      <c r="I48" s="2" t="n">
        <v>53</v>
      </c>
      <c r="J48" s="2" t="n">
        <v>64</v>
      </c>
      <c r="K48" s="2" t="n">
        <v>66</v>
      </c>
      <c r="L48" s="2" t="n">
        <v>28</v>
      </c>
      <c r="M48" s="2" t="n">
        <v>28</v>
      </c>
      <c r="N48" s="2" t="n">
        <v>45</v>
      </c>
      <c r="O48" s="2" t="n">
        <v>2</v>
      </c>
      <c r="P48" s="2" t="n">
        <v>0</v>
      </c>
      <c r="Q48" s="2" t="n">
        <v>409</v>
      </c>
      <c r="R48" s="2" t="n">
        <v>5488</v>
      </c>
      <c r="S48" s="2" t="n"/>
      <c r="T48" s="2">
        <f>IF(OR(S48="",R48=0),"",ROUND(S48*R48,2))</f>
        <v/>
      </c>
      <c r="U48" s="2" t="inlineStr"/>
    </row>
    <row r="49">
      <c r="A49" s="2" t="inlineStr">
        <is>
          <t>C</t>
        </is>
      </c>
      <c r="B49" s="2" t="inlineStr">
        <is>
          <t>SUPERSTRUCTURE</t>
        </is>
      </c>
      <c r="C49" s="2" t="inlineStr">
        <is>
          <t>A</t>
        </is>
      </c>
      <c r="D49" s="2" t="inlineStr">
        <is>
          <t>To Stairs</t>
        </is>
      </c>
      <c r="E49" s="2" t="inlineStr">
        <is>
          <t>m²</t>
        </is>
      </c>
      <c r="F49" s="2" t="n">
        <v>70</v>
      </c>
      <c r="G49" s="2" t="n">
        <v>70</v>
      </c>
      <c r="H49" s="2" t="n">
        <v>102</v>
      </c>
      <c r="I49" s="2" t="n">
        <v>102</v>
      </c>
      <c r="J49" s="2" t="n">
        <v>135</v>
      </c>
      <c r="K49" s="2" t="n">
        <v>135</v>
      </c>
      <c r="L49" s="2" t="n">
        <v>39</v>
      </c>
      <c r="M49" s="2" t="n">
        <v>39</v>
      </c>
      <c r="N49" s="2" t="n">
        <v>0</v>
      </c>
      <c r="O49" s="2" t="n">
        <v>0</v>
      </c>
      <c r="P49" s="2" t="n">
        <v>0</v>
      </c>
      <c r="Q49" s="2" t="n">
        <v>692</v>
      </c>
      <c r="R49" s="2" t="n">
        <v>10171</v>
      </c>
      <c r="S49" s="2" t="n"/>
      <c r="T49" s="2">
        <f>IF(OR(S49="",R49=0),"",ROUND(S49*R49,2))</f>
        <v/>
      </c>
      <c r="U49" s="2" t="inlineStr"/>
    </row>
    <row r="50">
      <c r="A50" s="2" t="inlineStr">
        <is>
          <t>C</t>
        </is>
      </c>
      <c r="B50" s="2" t="inlineStr">
        <is>
          <t>SUPERSTRUCTURE</t>
        </is>
      </c>
      <c r="C50" s="2" t="inlineStr">
        <is>
          <t>B</t>
        </is>
      </c>
      <c r="D50" s="2" t="inlineStr">
        <is>
          <t>Suspended slab, drop panel</t>
        </is>
      </c>
      <c r="E50" s="2" t="inlineStr">
        <is>
          <t>m³</t>
        </is>
      </c>
      <c r="F50" s="2" t="n">
        <v>156</v>
      </c>
      <c r="G50" s="2" t="n">
        <v>137</v>
      </c>
      <c r="H50" s="2" t="n">
        <v>225</v>
      </c>
      <c r="I50" s="2" t="n">
        <v>269</v>
      </c>
      <c r="J50" s="2" t="n">
        <v>339</v>
      </c>
      <c r="K50" s="2" t="n">
        <v>311</v>
      </c>
      <c r="L50" s="2" t="n">
        <v>67</v>
      </c>
      <c r="M50" s="2" t="n">
        <v>68</v>
      </c>
      <c r="N50" s="2" t="n">
        <v>212</v>
      </c>
      <c r="O50" s="2" t="n">
        <v>4</v>
      </c>
      <c r="P50" s="2" t="n">
        <v>0</v>
      </c>
      <c r="Q50" s="2" t="n">
        <v>1788</v>
      </c>
      <c r="R50" s="2" t="n">
        <v>23197</v>
      </c>
      <c r="S50" s="2" t="n"/>
      <c r="T50" s="2">
        <f>IF(OR(S50="",R50=0),"",ROUND(S50*R50,2))</f>
        <v/>
      </c>
      <c r="U50" s="2" t="inlineStr"/>
    </row>
    <row r="51">
      <c r="A51" s="2" t="inlineStr">
        <is>
          <t>C</t>
        </is>
      </c>
      <c r="B51" s="2" t="inlineStr">
        <is>
          <t>SUPERSTRUCTURE</t>
        </is>
      </c>
      <c r="C51" s="2" t="inlineStr">
        <is>
          <t>B</t>
        </is>
      </c>
      <c r="D51" s="2" t="inlineStr">
        <is>
          <t>To sides of Upstand / Parapet / Downstand</t>
        </is>
      </c>
      <c r="E51" s="2" t="inlineStr">
        <is>
          <t>m²</t>
        </is>
      </c>
      <c r="F51" s="2" t="n">
        <v>333</v>
      </c>
      <c r="G51" s="2" t="n">
        <v>418</v>
      </c>
      <c r="H51" s="2" t="n">
        <v>547</v>
      </c>
      <c r="I51" s="2" t="n">
        <v>454</v>
      </c>
      <c r="J51" s="2" t="n">
        <v>722</v>
      </c>
      <c r="K51" s="2" t="n">
        <v>601</v>
      </c>
      <c r="L51" s="2" t="n">
        <v>58</v>
      </c>
      <c r="M51" s="2" t="n">
        <v>66</v>
      </c>
      <c r="N51" s="2" t="n">
        <v>154</v>
      </c>
      <c r="O51" s="2" t="n">
        <v>18</v>
      </c>
      <c r="P51" s="2" t="n">
        <v>0</v>
      </c>
      <c r="Q51" s="2" t="n">
        <v>3371</v>
      </c>
      <c r="R51" s="2" t="n">
        <v>46050</v>
      </c>
      <c r="S51" s="2" t="n"/>
      <c r="T51" s="2">
        <f>IF(OR(S51="",R51=0),"",ROUND(S51*R51,2))</f>
        <v/>
      </c>
      <c r="U51" s="2" t="inlineStr"/>
    </row>
    <row r="52">
      <c r="A52" s="2" t="inlineStr">
        <is>
          <t>C</t>
        </is>
      </c>
      <c r="B52" s="2" t="inlineStr">
        <is>
          <t>SUPERSTRUCTURE</t>
        </is>
      </c>
      <c r="C52" s="2" t="inlineStr">
        <is>
          <t>C</t>
        </is>
      </c>
      <c r="D52" s="2" t="inlineStr">
        <is>
          <t>Suspended beams/ Coping beams</t>
        </is>
      </c>
      <c r="E52" s="2" t="inlineStr">
        <is>
          <t>m³</t>
        </is>
      </c>
      <c r="F52" s="2" t="n">
        <v>33</v>
      </c>
      <c r="G52" s="2" t="n">
        <v>32</v>
      </c>
      <c r="H52" s="2" t="n">
        <v>46</v>
      </c>
      <c r="I52" s="2" t="n">
        <v>48</v>
      </c>
      <c r="J52" s="2" t="n">
        <v>65</v>
      </c>
      <c r="K52" s="2" t="n">
        <v>72</v>
      </c>
      <c r="L52" s="2" t="n">
        <v>20</v>
      </c>
      <c r="M52" s="2" t="n">
        <v>20</v>
      </c>
      <c r="N52" s="2" t="n">
        <v>28</v>
      </c>
      <c r="O52" s="2" t="n">
        <v>2</v>
      </c>
      <c r="P52" s="2" t="n">
        <v>0</v>
      </c>
      <c r="Q52" s="2" t="n">
        <v>366</v>
      </c>
      <c r="R52" s="2" t="n">
        <v>4904</v>
      </c>
      <c r="S52" s="2" t="n"/>
      <c r="T52" s="2">
        <f>IF(OR(S52="",R52=0),"",ROUND(S52*R52,2))</f>
        <v/>
      </c>
      <c r="U52" s="2" t="inlineStr"/>
    </row>
    <row r="53">
      <c r="A53" s="2" t="inlineStr">
        <is>
          <t>C</t>
        </is>
      </c>
      <c r="B53" s="2" t="inlineStr">
        <is>
          <t>SUPERSTRUCTURE</t>
        </is>
      </c>
      <c r="C53" s="2" t="inlineStr">
        <is>
          <t>C</t>
        </is>
      </c>
      <c r="D53" s="2" t="inlineStr">
        <is>
          <t>To sides of column/ concrete post</t>
        </is>
      </c>
      <c r="E53" s="2" t="inlineStr">
        <is>
          <t>m²</t>
        </is>
      </c>
      <c r="F53" s="2" t="n">
        <v>464</v>
      </c>
      <c r="G53" s="2" t="n">
        <v>483</v>
      </c>
      <c r="H53" s="2" t="n">
        <v>634</v>
      </c>
      <c r="I53" s="2" t="n">
        <v>691</v>
      </c>
      <c r="J53" s="2" t="n">
        <v>807</v>
      </c>
      <c r="K53" s="2" t="n">
        <v>850</v>
      </c>
      <c r="L53" s="2" t="n">
        <v>296</v>
      </c>
      <c r="M53" s="2" t="n">
        <v>296</v>
      </c>
      <c r="N53" s="2" t="n">
        <v>480</v>
      </c>
      <c r="O53" s="2" t="n">
        <v>19</v>
      </c>
      <c r="P53" s="2" t="n">
        <v>0</v>
      </c>
      <c r="Q53" s="2" t="n">
        <v>5020</v>
      </c>
      <c r="R53" s="2" t="n">
        <v>68173</v>
      </c>
      <c r="S53" s="2" t="n"/>
      <c r="T53" s="2">
        <f>IF(OR(S53="",R53=0),"",ROUND(S53*R53,2))</f>
        <v/>
      </c>
      <c r="U53" s="2" t="inlineStr"/>
    </row>
    <row r="54">
      <c r="A54" s="2" t="inlineStr">
        <is>
          <t>C</t>
        </is>
      </c>
      <c r="B54" s="2" t="inlineStr">
        <is>
          <t>SUPERSTRUCTURE</t>
        </is>
      </c>
      <c r="C54" s="2" t="inlineStr">
        <is>
          <t>D</t>
        </is>
      </c>
      <c r="D54" s="2" t="inlineStr">
        <is>
          <t>Upstand / Parapet / Downstand</t>
        </is>
      </c>
      <c r="E54" s="2" t="inlineStr">
        <is>
          <t>m³</t>
        </is>
      </c>
      <c r="F54" s="2" t="n">
        <v>29</v>
      </c>
      <c r="G54" s="2" t="n">
        <v>33</v>
      </c>
      <c r="H54" s="2" t="n">
        <v>59</v>
      </c>
      <c r="I54" s="2" t="n">
        <v>48</v>
      </c>
      <c r="J54" s="2" t="n">
        <v>74</v>
      </c>
      <c r="K54" s="2" t="n">
        <v>58</v>
      </c>
      <c r="L54" s="2" t="n">
        <v>6</v>
      </c>
      <c r="M54" s="2" t="n">
        <v>7</v>
      </c>
      <c r="N54" s="2" t="n">
        <v>16</v>
      </c>
      <c r="O54" s="2" t="n">
        <v>2</v>
      </c>
      <c r="P54" s="2" t="n">
        <v>0</v>
      </c>
      <c r="Q54" s="2" t="n">
        <v>332</v>
      </c>
      <c r="R54" s="2" t="n">
        <v>4516</v>
      </c>
      <c r="S54" s="2" t="n"/>
      <c r="T54" s="2">
        <f>IF(OR(S54="",R54=0),"",ROUND(S54*R54,2))</f>
        <v/>
      </c>
      <c r="U54" s="2" t="inlineStr"/>
    </row>
    <row r="55">
      <c r="A55" s="2" t="inlineStr">
        <is>
          <t>C</t>
        </is>
      </c>
      <c r="B55" s="2" t="inlineStr">
        <is>
          <t>SUPERSTRUCTURE</t>
        </is>
      </c>
      <c r="C55" s="2" t="inlineStr">
        <is>
          <t>D</t>
        </is>
      </c>
      <c r="D55" s="2" t="inlineStr">
        <is>
          <t>To sides and soffit of suspended slab, drop panel</t>
        </is>
      </c>
      <c r="E55" s="2" t="inlineStr">
        <is>
          <t>m²</t>
        </is>
      </c>
      <c r="F55" s="2" t="n">
        <v>997</v>
      </c>
      <c r="G55" s="2" t="n">
        <v>909</v>
      </c>
      <c r="H55" s="2" t="n">
        <v>1280</v>
      </c>
      <c r="I55" s="2" t="n">
        <v>1500</v>
      </c>
      <c r="J55" s="2" t="n">
        <v>1746</v>
      </c>
      <c r="K55" s="2" t="n">
        <v>1610</v>
      </c>
      <c r="L55" s="2" t="n">
        <v>445</v>
      </c>
      <c r="M55" s="2" t="n">
        <v>462</v>
      </c>
      <c r="N55" s="2" t="n">
        <v>716</v>
      </c>
      <c r="O55" s="2" t="n">
        <v>19</v>
      </c>
      <c r="P55" s="2" t="n">
        <v>0</v>
      </c>
      <c r="Q55" s="2" t="n">
        <v>9684</v>
      </c>
      <c r="R55" s="2" t="n">
        <v>134968</v>
      </c>
      <c r="S55" s="2" t="n"/>
      <c r="T55" s="2">
        <f>IF(OR(S55="",R55=0),"",ROUND(S55*R55,2))</f>
        <v/>
      </c>
      <c r="U55" s="2" t="inlineStr"/>
    </row>
    <row r="56">
      <c r="A56" s="2" t="inlineStr">
        <is>
          <t>C</t>
        </is>
      </c>
      <c r="B56" s="2" t="inlineStr">
        <is>
          <t>SUPERSTRUCTURE</t>
        </is>
      </c>
      <c r="C56" s="2" t="inlineStr">
        <is>
          <t>E</t>
        </is>
      </c>
      <c r="D56" s="2" t="inlineStr">
        <is>
          <t>Stairs</t>
        </is>
      </c>
      <c r="E56" s="2" t="inlineStr">
        <is>
          <t>m³</t>
        </is>
      </c>
      <c r="F56" s="2" t="n">
        <v>10</v>
      </c>
      <c r="G56" s="2" t="n">
        <v>10</v>
      </c>
      <c r="H56" s="2" t="n">
        <v>14</v>
      </c>
      <c r="I56" s="2" t="n">
        <v>14</v>
      </c>
      <c r="J56" s="2" t="n">
        <v>18</v>
      </c>
      <c r="K56" s="2" t="n">
        <v>18</v>
      </c>
      <c r="L56" s="2" t="n">
        <v>11</v>
      </c>
      <c r="M56" s="2" t="n">
        <v>11</v>
      </c>
      <c r="N56" s="2" t="n">
        <v>0</v>
      </c>
      <c r="O56" s="2" t="n">
        <v>0</v>
      </c>
      <c r="P56" s="2" t="n">
        <v>0</v>
      </c>
      <c r="Q56" s="2" t="n">
        <v>106</v>
      </c>
      <c r="R56" s="2" t="n">
        <v>1611</v>
      </c>
      <c r="S56" s="2" t="n"/>
      <c r="T56" s="2">
        <f>IF(OR(S56="",R56=0),"",ROUND(S56*R56,2))</f>
        <v/>
      </c>
      <c r="U56" s="2" t="inlineStr"/>
    </row>
    <row r="57">
      <c r="A57" s="2" t="inlineStr">
        <is>
          <t>C</t>
        </is>
      </c>
      <c r="B57" s="2" t="inlineStr">
        <is>
          <t>SUPERSTRUCTURE</t>
        </is>
      </c>
      <c r="C57" s="2" t="inlineStr">
        <is>
          <t>E</t>
        </is>
      </c>
      <c r="D57" s="2" t="inlineStr">
        <is>
          <t>To sides and soffit of suspended beam, coping beams</t>
        </is>
      </c>
      <c r="E57" s="2" t="inlineStr">
        <is>
          <t>m²</t>
        </is>
      </c>
      <c r="F57" s="2" t="n">
        <v>320</v>
      </c>
      <c r="G57" s="2" t="n">
        <v>320</v>
      </c>
      <c r="H57" s="2" t="n">
        <v>502</v>
      </c>
      <c r="I57" s="2" t="n">
        <v>546</v>
      </c>
      <c r="J57" s="2" t="n">
        <v>705</v>
      </c>
      <c r="K57" s="2" t="n">
        <v>802</v>
      </c>
      <c r="L57" s="2" t="n">
        <v>165</v>
      </c>
      <c r="M57" s="2" t="n">
        <v>165</v>
      </c>
      <c r="N57" s="2" t="n">
        <v>367</v>
      </c>
      <c r="O57" s="2" t="n">
        <v>15</v>
      </c>
      <c r="P57" s="2" t="n">
        <v>0</v>
      </c>
      <c r="Q57" s="2" t="n">
        <v>3907</v>
      </c>
      <c r="R57" s="2" t="n">
        <v>50876</v>
      </c>
      <c r="S57" s="2" t="n"/>
      <c r="T57" s="2">
        <f>IF(OR(S57="",R57=0),"",ROUND(S57*R57,2))</f>
        <v/>
      </c>
      <c r="U57" s="2" t="inlineStr"/>
    </row>
    <row r="58">
      <c r="A58" s="2" t="inlineStr">
        <is>
          <t>C</t>
        </is>
      </c>
      <c r="B58" s="2" t="inlineStr">
        <is>
          <t>SUPERSTRUCTURE</t>
        </is>
      </c>
      <c r="C58" s="2" t="inlineStr">
        <is>
          <t>F</t>
        </is>
      </c>
      <c r="D58" s="2" t="inlineStr">
        <is>
          <t>Upstand / Parapet / Downstand</t>
        </is>
      </c>
      <c r="E58" s="2" t="inlineStr">
        <is>
          <t>Ton</t>
        </is>
      </c>
      <c r="F58" s="2" t="n">
        <v>2.7</v>
      </c>
      <c r="G58" s="2" t="n">
        <v>3.44</v>
      </c>
      <c r="H58" s="2" t="n">
        <v>5.5</v>
      </c>
      <c r="I58" s="2" t="n">
        <v>5.33</v>
      </c>
      <c r="J58" s="2" t="n">
        <v>6.06</v>
      </c>
      <c r="K58" s="2" t="n">
        <v>5.84</v>
      </c>
      <c r="L58" s="2" t="n">
        <v>0.76</v>
      </c>
      <c r="M58" s="2" t="n">
        <v>0.91</v>
      </c>
      <c r="N58" s="2" t="n">
        <v>2</v>
      </c>
      <c r="O58" s="2" t="n">
        <v>0.19</v>
      </c>
      <c r="P58" s="2" t="n">
        <v>0</v>
      </c>
      <c r="Q58" s="2" t="n">
        <v>32.73</v>
      </c>
      <c r="R58" s="2" t="n">
        <v>450.91</v>
      </c>
      <c r="S58" s="2" t="n"/>
      <c r="T58" s="2">
        <f>IF(OR(S58="",R58=0),"",ROUND(S58*R58,2))</f>
        <v/>
      </c>
      <c r="U58" s="2" t="inlineStr"/>
    </row>
    <row r="59">
      <c r="A59" s="2" t="inlineStr">
        <is>
          <t>C</t>
        </is>
      </c>
      <c r="B59" s="2" t="inlineStr">
        <is>
          <t>SUPERSTRUCTURE</t>
        </is>
      </c>
      <c r="C59" s="2" t="inlineStr">
        <is>
          <t>F</t>
        </is>
      </c>
      <c r="D59" s="2" t="inlineStr">
        <is>
          <t>Size 900mm x 1400mm x 100-120mm Thick, as per detail 01 - ARC-5201</t>
        </is>
      </c>
      <c r="E59" s="2" t="inlineStr">
        <is>
          <t>No</t>
        </is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1</v>
      </c>
      <c r="O59" s="2" t="n">
        <v>0</v>
      </c>
      <c r="P59" s="2" t="n">
        <v>0</v>
      </c>
      <c r="Q59" s="2" t="n">
        <v>1</v>
      </c>
      <c r="R59" s="2" t="n">
        <v>1</v>
      </c>
      <c r="S59" s="2" t="n"/>
      <c r="T59" s="2">
        <f>IF(OR(S59="",R59=0),"",ROUND(S59*R59,2))</f>
        <v/>
      </c>
      <c r="U59" s="2" t="inlineStr"/>
    </row>
    <row r="60">
      <c r="A60" s="2" t="inlineStr">
        <is>
          <t>C</t>
        </is>
      </c>
      <c r="B60" s="2" t="inlineStr">
        <is>
          <t>SUPERSTRUCTURE</t>
        </is>
      </c>
      <c r="C60" s="2" t="inlineStr">
        <is>
          <t>G</t>
        </is>
      </c>
      <c r="D60" s="2" t="inlineStr">
        <is>
          <t>Stairs</t>
        </is>
      </c>
      <c r="E60" s="2" t="inlineStr">
        <is>
          <t>Ton</t>
        </is>
      </c>
      <c r="F60" s="2" t="n">
        <v>1.47</v>
      </c>
      <c r="G60" s="2" t="n">
        <v>1.47</v>
      </c>
      <c r="H60" s="2" t="n">
        <v>2.14</v>
      </c>
      <c r="I60" s="2" t="n">
        <v>2.14</v>
      </c>
      <c r="J60" s="2" t="n">
        <v>2.81</v>
      </c>
      <c r="K60" s="2" t="n">
        <v>2.81</v>
      </c>
      <c r="L60" s="2" t="n">
        <v>0.8100000000000001</v>
      </c>
      <c r="M60" s="2" t="n">
        <v>0.8100000000000001</v>
      </c>
      <c r="N60" s="2" t="n">
        <v>0</v>
      </c>
      <c r="O60" s="2" t="n">
        <v>0</v>
      </c>
      <c r="P60" s="2" t="n">
        <v>0</v>
      </c>
      <c r="Q60" s="2" t="n">
        <v>14.48</v>
      </c>
      <c r="R60" s="2" t="n">
        <v>213.15</v>
      </c>
      <c r="S60" s="2" t="n"/>
      <c r="T60" s="2">
        <f>IF(OR(S60="",R60=0),"",ROUND(S60*R60,2))</f>
        <v/>
      </c>
      <c r="U60" s="2" t="inlineStr"/>
    </row>
    <row r="61">
      <c r="A61" s="2" t="inlineStr">
        <is>
          <t>C</t>
        </is>
      </c>
      <c r="B61" s="2" t="inlineStr">
        <is>
          <t>SUPERSTRUCTURE</t>
        </is>
      </c>
      <c r="C61" s="2" t="inlineStr">
        <is>
          <t>G</t>
        </is>
      </c>
      <c r="D61" s="2" t="inlineStr">
        <is>
          <t>Size 939mm x 1300mm x 100-120mm Thick, as per detail 01 - ARC-5201</t>
        </is>
      </c>
      <c r="E61" s="2" t="inlineStr">
        <is>
          <t>No</t>
        </is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1</v>
      </c>
      <c r="O61" s="2" t="n">
        <v>0</v>
      </c>
      <c r="P61" s="2" t="n">
        <v>0</v>
      </c>
      <c r="Q61" s="2" t="n">
        <v>1</v>
      </c>
      <c r="R61" s="2" t="n">
        <v>1</v>
      </c>
      <c r="S61" s="2" t="n"/>
      <c r="T61" s="2">
        <f>IF(OR(S61="",R61=0),"",ROUND(S61*R61,2))</f>
        <v/>
      </c>
      <c r="U61" s="2" t="inlineStr"/>
    </row>
    <row r="62">
      <c r="A62" s="2" t="inlineStr">
        <is>
          <t>C</t>
        </is>
      </c>
      <c r="B62" s="2" t="inlineStr">
        <is>
          <t>SUPERSTRUCTURE</t>
        </is>
      </c>
      <c r="C62" s="2" t="inlineStr">
        <is>
          <t>H</t>
        </is>
      </c>
      <c r="D62" s="2" t="inlineStr">
        <is>
          <t>Column/ Concrete post</t>
        </is>
      </c>
      <c r="E62" s="2" t="inlineStr">
        <is>
          <t>Ton</t>
        </is>
      </c>
      <c r="F62" s="2" t="n">
        <v>7.37</v>
      </c>
      <c r="G62" s="2" t="n">
        <v>7.48</v>
      </c>
      <c r="H62" s="2" t="n">
        <v>10.06</v>
      </c>
      <c r="I62" s="2" t="n">
        <v>10.33</v>
      </c>
      <c r="J62" s="2" t="n">
        <v>13.35</v>
      </c>
      <c r="K62" s="2" t="n">
        <v>13.8</v>
      </c>
      <c r="L62" s="2" t="n">
        <v>5.63</v>
      </c>
      <c r="M62" s="2" t="n">
        <v>5.63</v>
      </c>
      <c r="N62" s="2" t="n">
        <v>13.94</v>
      </c>
      <c r="O62" s="2" t="n">
        <v>0.39</v>
      </c>
      <c r="P62" s="2" t="n">
        <v>0</v>
      </c>
      <c r="Q62" s="2" t="n">
        <v>87.98</v>
      </c>
      <c r="R62" s="2" t="n">
        <v>1112.39</v>
      </c>
      <c r="S62" s="2" t="n"/>
      <c r="T62" s="2">
        <f>IF(OR(S62="",R62=0),"",ROUND(S62*R62,2))</f>
        <v/>
      </c>
      <c r="U62" s="2" t="inlineStr"/>
    </row>
    <row r="63">
      <c r="A63" s="2" t="inlineStr">
        <is>
          <t>C</t>
        </is>
      </c>
      <c r="B63" s="2" t="inlineStr">
        <is>
          <t>SUPERSTRUCTURE</t>
        </is>
      </c>
      <c r="C63" s="2" t="inlineStr">
        <is>
          <t>H</t>
        </is>
      </c>
      <c r="D63" s="2" t="inlineStr">
        <is>
          <t>Size 1040mm x 1190mm x 100-120mm Thick, as per detail 01 - ARC-5201</t>
        </is>
      </c>
      <c r="E63" s="2" t="inlineStr">
        <is>
          <t>No</t>
        </is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1</v>
      </c>
      <c r="O63" s="2" t="n">
        <v>0</v>
      </c>
      <c r="P63" s="2" t="n">
        <v>0</v>
      </c>
      <c r="Q63" s="2" t="n">
        <v>1</v>
      </c>
      <c r="R63" s="2" t="n">
        <v>1</v>
      </c>
      <c r="S63" s="2" t="n"/>
      <c r="T63" s="2">
        <f>IF(OR(S63="",R63=0),"",ROUND(S63*R63,2))</f>
        <v/>
      </c>
      <c r="U63" s="2" t="inlineStr"/>
    </row>
    <row r="64">
      <c r="A64" s="2" t="inlineStr">
        <is>
          <t>C</t>
        </is>
      </c>
      <c r="B64" s="2" t="inlineStr">
        <is>
          <t>SUPERSTRUCTURE</t>
        </is>
      </c>
      <c r="C64" s="2" t="inlineStr">
        <is>
          <t>J</t>
        </is>
      </c>
      <c r="D64" s="2" t="inlineStr">
        <is>
          <t>Suspended slab, drop panel</t>
        </is>
      </c>
      <c r="E64" s="2" t="inlineStr">
        <is>
          <t>Ton</t>
        </is>
      </c>
      <c r="F64" s="2" t="n">
        <v>16.68</v>
      </c>
      <c r="G64" s="2" t="n">
        <v>15.33</v>
      </c>
      <c r="H64" s="2" t="n">
        <v>23.4</v>
      </c>
      <c r="I64" s="2" t="n">
        <v>27.3</v>
      </c>
      <c r="J64" s="2" t="n">
        <v>35.1</v>
      </c>
      <c r="K64" s="2" t="n">
        <v>33.4</v>
      </c>
      <c r="L64" s="2" t="n">
        <v>6.76</v>
      </c>
      <c r="M64" s="2" t="n">
        <v>7.38</v>
      </c>
      <c r="N64" s="2" t="n">
        <v>24.5</v>
      </c>
      <c r="O64" s="2" t="n">
        <v>0.25</v>
      </c>
      <c r="P64" s="2" t="n">
        <v>0</v>
      </c>
      <c r="Q64" s="2" t="n">
        <v>190.1</v>
      </c>
      <c r="R64" s="2" t="n">
        <v>2434.21</v>
      </c>
      <c r="S64" s="2" t="n"/>
      <c r="T64" s="2">
        <f>IF(OR(S64="",R64=0),"",ROUND(S64*R64,2))</f>
        <v/>
      </c>
      <c r="U64" s="2" t="inlineStr"/>
    </row>
    <row r="65">
      <c r="A65" s="2" t="inlineStr">
        <is>
          <t>C</t>
        </is>
      </c>
      <c r="B65" s="2" t="inlineStr">
        <is>
          <t>SUPERSTRUCTURE</t>
        </is>
      </c>
      <c r="C65" s="2" t="inlineStr">
        <is>
          <t>J</t>
        </is>
      </c>
      <c r="D65" s="2" t="inlineStr">
        <is>
          <t>Size 1630mm x 1080mm x 100-120mm Thick, as per detail 01 - ARC-5201</t>
        </is>
      </c>
      <c r="E65" s="2" t="inlineStr">
        <is>
          <t>No</t>
        </is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1</v>
      </c>
      <c r="O65" s="2" t="n">
        <v>0</v>
      </c>
      <c r="P65" s="2" t="n">
        <v>0</v>
      </c>
      <c r="Q65" s="2" t="n">
        <v>1</v>
      </c>
      <c r="R65" s="2" t="n">
        <v>1</v>
      </c>
      <c r="S65" s="2" t="n"/>
      <c r="T65" s="2">
        <f>IF(OR(S65="",R65=0),"",ROUND(S65*R65,2))</f>
        <v/>
      </c>
      <c r="U65" s="2" t="inlineStr"/>
    </row>
    <row r="66">
      <c r="A66" s="2" t="inlineStr">
        <is>
          <t>C</t>
        </is>
      </c>
      <c r="B66" s="2" t="inlineStr">
        <is>
          <t>SUPERSTRUCTURE</t>
        </is>
      </c>
      <c r="C66" s="2" t="inlineStr">
        <is>
          <t>K</t>
        </is>
      </c>
      <c r="D66" s="2" t="inlineStr">
        <is>
          <t>Suspended beams/ Coping beams</t>
        </is>
      </c>
      <c r="E66" s="2" t="inlineStr">
        <is>
          <t>Ton</t>
        </is>
      </c>
      <c r="F66" s="2" t="n">
        <v>9.18</v>
      </c>
      <c r="G66" s="2" t="n">
        <v>9.050000000000001</v>
      </c>
      <c r="H66" s="2" t="n">
        <v>13.26</v>
      </c>
      <c r="I66" s="2" t="n">
        <v>14.6</v>
      </c>
      <c r="J66" s="2" t="n">
        <v>18.28</v>
      </c>
      <c r="K66" s="2" t="n">
        <v>19.96</v>
      </c>
      <c r="L66" s="2" t="n">
        <v>6.17</v>
      </c>
      <c r="M66" s="2" t="n">
        <v>6.17</v>
      </c>
      <c r="N66" s="2" t="n">
        <v>11</v>
      </c>
      <c r="O66" s="2" t="n">
        <v>0.42</v>
      </c>
      <c r="P66" s="2" t="n">
        <v>0</v>
      </c>
      <c r="Q66" s="2" t="n">
        <v>108.09</v>
      </c>
      <c r="R66" s="2" t="n">
        <v>1429.49</v>
      </c>
      <c r="S66" s="2" t="n"/>
      <c r="T66" s="2">
        <f>IF(OR(S66="",R66=0),"",ROUND(S66*R66,2))</f>
        <v/>
      </c>
      <c r="U66" s="2" t="inlineStr"/>
    </row>
    <row r="67">
      <c r="A67" s="2" t="inlineStr">
        <is>
          <t>C</t>
        </is>
      </c>
      <c r="B67" s="2" t="inlineStr">
        <is>
          <t>SUPERSTRUCTURE</t>
        </is>
      </c>
      <c r="C67" s="2" t="inlineStr">
        <is>
          <t>K</t>
        </is>
      </c>
      <c r="D67" s="2" t="inlineStr">
        <is>
          <t>Size 1300mm x 1300mm x 100-120mm Thick, as per detail 01 - ARC-5201</t>
        </is>
      </c>
      <c r="E67" s="2" t="inlineStr">
        <is>
          <t>No</t>
        </is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1</v>
      </c>
      <c r="O67" s="2" t="n">
        <v>0</v>
      </c>
      <c r="P67" s="2" t="n">
        <v>0</v>
      </c>
      <c r="Q67" s="2" t="n">
        <v>1</v>
      </c>
      <c r="R67" s="2" t="n">
        <v>1</v>
      </c>
      <c r="S67" s="2" t="n"/>
      <c r="T67" s="2">
        <f>IF(OR(S67="",R67=0),"",ROUND(S67*R67,2))</f>
        <v/>
      </c>
      <c r="U67" s="2" t="inlineStr"/>
    </row>
    <row r="68">
      <c r="A68" s="2" t="inlineStr">
        <is>
          <t>C</t>
        </is>
      </c>
      <c r="B68" s="2" t="inlineStr">
        <is>
          <t>SUPERSTRUCTURE</t>
        </is>
      </c>
      <c r="C68" s="2" t="inlineStr">
        <is>
          <t>L</t>
        </is>
      </c>
      <c r="D68" s="2" t="inlineStr">
        <is>
          <t>Size 830mm x 978mm x 100-120mm Thick, as per detail 01 - ARC-5201</t>
        </is>
      </c>
      <c r="E68" s="2" t="inlineStr">
        <is>
          <t>No</t>
        </is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1</v>
      </c>
      <c r="O68" s="2" t="n">
        <v>0</v>
      </c>
      <c r="P68" s="2" t="n">
        <v>0</v>
      </c>
      <c r="Q68" s="2" t="n">
        <v>1</v>
      </c>
      <c r="R68" s="2" t="n">
        <v>1</v>
      </c>
      <c r="S68" s="2" t="n"/>
      <c r="T68" s="2">
        <f>IF(OR(S68="",R68=0),"",ROUND(S68*R68,2))</f>
        <v/>
      </c>
      <c r="U68" s="2" t="inlineStr"/>
    </row>
    <row r="69">
      <c r="A69" s="2" t="inlineStr">
        <is>
          <t>C</t>
        </is>
      </c>
      <c r="B69" s="2" t="inlineStr">
        <is>
          <t>SUPERSTRUCTURE</t>
        </is>
      </c>
      <c r="C69" s="2" t="inlineStr">
        <is>
          <t>M</t>
        </is>
      </c>
      <c r="D69" s="2" t="inlineStr">
        <is>
          <t>Size 390mm x 512mm x 100-120mm Thick, as per detail 01 - ARC-5201</t>
        </is>
      </c>
      <c r="E69" s="2" t="inlineStr">
        <is>
          <t>No</t>
        </is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1</v>
      </c>
      <c r="P69" s="2" t="n">
        <v>0</v>
      </c>
      <c r="Q69" s="2" t="n">
        <v>1</v>
      </c>
      <c r="R69" s="2" t="n">
        <v>1</v>
      </c>
      <c r="S69" s="2" t="n"/>
      <c r="T69" s="2">
        <f>IF(OR(S69="",R69=0),"",ROUND(S69*R69,2))</f>
        <v/>
      </c>
      <c r="U69" s="2" t="inlineStr"/>
    </row>
    <row r="70">
      <c r="A70" s="2" t="inlineStr">
        <is>
          <t>C</t>
        </is>
      </c>
      <c r="B70" s="2" t="inlineStr">
        <is>
          <t>SUPERSTRUCTURE</t>
        </is>
      </c>
      <c r="C70" s="2" t="inlineStr">
        <is>
          <t>N</t>
        </is>
      </c>
      <c r="D70" s="2" t="inlineStr">
        <is>
          <t>Size 960mm x 1360mm x 100-120mm Thick, as per detail 10 -ARC-0102</t>
        </is>
      </c>
      <c r="E70" s="2" t="inlineStr">
        <is>
          <t>No</t>
        </is>
      </c>
      <c r="F70" s="2" t="n">
        <v>2</v>
      </c>
      <c r="G70" s="2" t="n">
        <v>2</v>
      </c>
      <c r="H70" s="2" t="n">
        <v>2</v>
      </c>
      <c r="I70" s="2" t="n">
        <v>2</v>
      </c>
      <c r="J70" s="2" t="n">
        <v>2</v>
      </c>
      <c r="K70" s="2" t="n">
        <v>2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12</v>
      </c>
      <c r="R70" s="2" t="n">
        <v>184</v>
      </c>
      <c r="S70" s="2" t="n"/>
      <c r="T70" s="2">
        <f>IF(OR(S70="",R70=0),"",ROUND(S70*R70,2))</f>
        <v/>
      </c>
      <c r="U70" s="2" t="inlineStr"/>
    </row>
    <row r="71">
      <c r="A71" s="2" t="inlineStr">
        <is>
          <t>C</t>
        </is>
      </c>
      <c r="B71" s="2" t="inlineStr">
        <is>
          <t>SUPERSTRUCTURE</t>
        </is>
      </c>
      <c r="C71" s="2" t="inlineStr">
        <is>
          <t>P</t>
        </is>
      </c>
      <c r="D71" s="2" t="inlineStr">
        <is>
          <t>Size 960mm x 1710mm x 100-120mm Thick, as per detail 10 -ARC-0102</t>
        </is>
      </c>
      <c r="E71" s="2" t="inlineStr">
        <is>
          <t>No</t>
        </is>
      </c>
      <c r="F71" s="2" t="n">
        <v>2</v>
      </c>
      <c r="G71" s="2" t="n">
        <v>2</v>
      </c>
      <c r="H71" s="2" t="n">
        <v>4</v>
      </c>
      <c r="I71" s="2" t="n">
        <v>4</v>
      </c>
      <c r="J71" s="2" t="n">
        <v>6</v>
      </c>
      <c r="K71" s="2" t="n">
        <v>6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24</v>
      </c>
      <c r="R71" s="2" t="n">
        <v>326</v>
      </c>
      <c r="S71" s="2" t="n"/>
      <c r="T71" s="2">
        <f>IF(OR(S71="",R71=0),"",ROUND(S71*R71,2))</f>
        <v/>
      </c>
      <c r="U71" s="2" t="inlineStr"/>
    </row>
    <row r="72">
      <c r="A72" s="2" t="inlineStr">
        <is>
          <t>C</t>
        </is>
      </c>
      <c r="B72" s="2" t="inlineStr">
        <is>
          <t>SUPERSTRUCTURE</t>
        </is>
      </c>
      <c r="C72" s="2" t="inlineStr">
        <is>
          <t>Q</t>
        </is>
      </c>
      <c r="D72" s="2" t="inlineStr">
        <is>
          <t>Size 700mm x 675mm x 100-120mm Thick, as per detail 10 -ARC-0102</t>
        </is>
      </c>
      <c r="E72" s="2" t="inlineStr">
        <is>
          <t>No</t>
        </is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1</v>
      </c>
      <c r="M72" s="2" t="n">
        <v>1</v>
      </c>
      <c r="N72" s="2" t="n">
        <v>0</v>
      </c>
      <c r="O72" s="2" t="n">
        <v>0</v>
      </c>
      <c r="P72" s="2" t="n">
        <v>0</v>
      </c>
      <c r="Q72" s="2" t="n">
        <v>2</v>
      </c>
      <c r="R72" s="2" t="n">
        <v>37</v>
      </c>
      <c r="S72" s="2" t="n"/>
      <c r="T72" s="2">
        <f>IF(OR(S72="",R72=0),"",ROUND(S72*R72,2))</f>
        <v/>
      </c>
      <c r="U72" s="2" t="inlineStr"/>
    </row>
    <row r="73">
      <c r="A73" s="2" t="inlineStr">
        <is>
          <t>C</t>
        </is>
      </c>
      <c r="B73" s="2" t="inlineStr">
        <is>
          <t>SUPERSTRUCTURE</t>
        </is>
      </c>
      <c r="C73" s="2" t="inlineStr">
        <is>
          <t>R</t>
        </is>
      </c>
      <c r="D73" s="2" t="inlineStr">
        <is>
          <t>Size 1800mm x 625mm x 100-120mm Thick, as per detail 10 -ARC-0102</t>
        </is>
      </c>
      <c r="E73" s="2" t="inlineStr">
        <is>
          <t>No</t>
        </is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1</v>
      </c>
      <c r="M73" s="2" t="n">
        <v>1</v>
      </c>
      <c r="N73" s="2" t="n">
        <v>0</v>
      </c>
      <c r="O73" s="2" t="n">
        <v>0</v>
      </c>
      <c r="P73" s="2" t="n">
        <v>0</v>
      </c>
      <c r="Q73" s="2" t="n">
        <v>2</v>
      </c>
      <c r="R73" s="2" t="n">
        <v>37</v>
      </c>
      <c r="S73" s="2" t="n"/>
      <c r="T73" s="2">
        <f>IF(OR(S73="",R73=0),"",ROUND(S73*R73,2))</f>
        <v/>
      </c>
      <c r="U73" s="2" t="inlineStr"/>
    </row>
    <row r="74">
      <c r="A74" s="2" t="inlineStr">
        <is>
          <t>D</t>
        </is>
      </c>
      <c r="B74" s="2" t="inlineStr">
        <is>
          <t>SUPERSTRUCTURE</t>
        </is>
      </c>
      <c r="C74" s="2" t="inlineStr">
        <is>
          <t>A</t>
        </is>
      </c>
      <c r="D74" s="2" t="inlineStr">
        <is>
          <t>150mm thick</t>
        </is>
      </c>
      <c r="E74" s="2" t="inlineStr">
        <is>
          <t>m²</t>
        </is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64</v>
      </c>
      <c r="O74" s="2" t="n">
        <v>0</v>
      </c>
      <c r="P74" s="2" t="n">
        <v>0</v>
      </c>
      <c r="Q74" s="2" t="n">
        <v>64</v>
      </c>
      <c r="R74" s="2" t="n">
        <v>64</v>
      </c>
      <c r="S74" s="2" t="n"/>
      <c r="T74" s="2">
        <f>IF(OR(S74="",R74=0),"",ROUND(S74*R74,2))</f>
        <v/>
      </c>
      <c r="U74" s="2" t="inlineStr"/>
    </row>
    <row r="75">
      <c r="A75" s="2" t="inlineStr">
        <is>
          <t>D</t>
        </is>
      </c>
      <c r="B75" s="2" t="inlineStr">
        <is>
          <t>SUPERSTRUCTURE</t>
        </is>
      </c>
      <c r="C75" s="2" t="inlineStr">
        <is>
          <t>A</t>
        </is>
      </c>
      <c r="D75" s="2" t="inlineStr">
        <is>
          <t>Ref. W04, AAC Blockwall, 250mm thick</t>
        </is>
      </c>
      <c r="E75" s="2" t="inlineStr">
        <is>
          <t>m²</t>
        </is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6</v>
      </c>
      <c r="P75" s="2" t="n">
        <v>0</v>
      </c>
      <c r="Q75" s="2" t="n">
        <v>6</v>
      </c>
      <c r="R75" s="2" t="n">
        <v>6</v>
      </c>
      <c r="S75" s="2" t="n"/>
      <c r="T75" s="2">
        <f>IF(OR(S75="",R75=0),"",ROUND(S75*R75,2))</f>
        <v/>
      </c>
      <c r="U75" s="2" t="inlineStr"/>
    </row>
    <row r="76">
      <c r="A76" s="2" t="inlineStr">
        <is>
          <t>D</t>
        </is>
      </c>
      <c r="B76" s="2" t="inlineStr">
        <is>
          <t>SUPERSTRUCTURE</t>
        </is>
      </c>
      <c r="C76" s="2" t="inlineStr">
        <is>
          <t>B</t>
        </is>
      </c>
      <c r="D76" s="2" t="inlineStr">
        <is>
          <t>200mm thick</t>
        </is>
      </c>
      <c r="E76" s="2" t="inlineStr">
        <is>
          <t>m²</t>
        </is>
      </c>
      <c r="F76" s="2" t="n">
        <v>66</v>
      </c>
      <c r="G76" s="2" t="n">
        <v>66</v>
      </c>
      <c r="H76" s="2" t="n">
        <v>36</v>
      </c>
      <c r="I76" s="2" t="n">
        <v>36</v>
      </c>
      <c r="J76" s="2" t="n">
        <v>140</v>
      </c>
      <c r="K76" s="2" t="n">
        <v>140</v>
      </c>
      <c r="L76" s="2" t="n">
        <v>4</v>
      </c>
      <c r="M76" s="2" t="n">
        <v>4</v>
      </c>
      <c r="N76" s="2" t="n">
        <v>8</v>
      </c>
      <c r="O76" s="2" t="n">
        <v>0</v>
      </c>
      <c r="P76" s="2" t="n">
        <v>0</v>
      </c>
      <c r="Q76" s="2" t="n">
        <v>500</v>
      </c>
      <c r="R76" s="2" t="n">
        <v>6242</v>
      </c>
      <c r="S76" s="2" t="n"/>
      <c r="T76" s="2">
        <f>IF(OR(S76="",R76=0),"",ROUND(S76*R76,2))</f>
        <v/>
      </c>
      <c r="U76" s="2" t="inlineStr"/>
    </row>
    <row r="77">
      <c r="A77" s="2" t="inlineStr">
        <is>
          <t>D</t>
        </is>
      </c>
      <c r="B77" s="2" t="inlineStr">
        <is>
          <t>SUPERSTRUCTURE</t>
        </is>
      </c>
      <c r="C77" s="2" t="inlineStr">
        <is>
          <t>B</t>
        </is>
      </c>
      <c r="D77" s="2" t="inlineStr">
        <is>
          <t>100mm thick</t>
        </is>
      </c>
      <c r="E77" s="2" t="inlineStr">
        <is>
          <t>m²</t>
        </is>
      </c>
      <c r="F77" s="2" t="n">
        <v>0</v>
      </c>
      <c r="G77" s="2" t="n">
        <v>19</v>
      </c>
      <c r="H77" s="2" t="n">
        <v>0</v>
      </c>
      <c r="I77" s="2" t="n">
        <v>36</v>
      </c>
      <c r="J77" s="2" t="n">
        <v>0</v>
      </c>
      <c r="K77" s="2" t="n">
        <v>13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68</v>
      </c>
      <c r="R77" s="2" t="n">
        <v>1223</v>
      </c>
      <c r="S77" s="2" t="n"/>
      <c r="T77" s="2">
        <f>IF(OR(S77="",R77=0),"",ROUND(S77*R77,2))</f>
        <v/>
      </c>
      <c r="U77" s="2" t="inlineStr"/>
    </row>
    <row r="78">
      <c r="A78" s="2" t="inlineStr">
        <is>
          <t>D</t>
        </is>
      </c>
      <c r="B78" s="2" t="inlineStr">
        <is>
          <t>SUPERSTRUCTURE</t>
        </is>
      </c>
      <c r="C78" s="2" t="inlineStr">
        <is>
          <t>C</t>
        </is>
      </c>
      <c r="D78" s="2" t="inlineStr">
        <is>
          <t>250mm thick</t>
        </is>
      </c>
      <c r="E78" s="2" t="inlineStr">
        <is>
          <t>m²</t>
        </is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17</v>
      </c>
      <c r="M78" s="2" t="n">
        <v>19</v>
      </c>
      <c r="N78" s="2" t="n">
        <v>0</v>
      </c>
      <c r="O78" s="2" t="n">
        <v>0</v>
      </c>
      <c r="P78" s="2" t="n">
        <v>0</v>
      </c>
      <c r="Q78" s="2" t="n">
        <v>36</v>
      </c>
      <c r="R78" s="2" t="n">
        <v>667</v>
      </c>
      <c r="S78" s="2" t="n"/>
      <c r="T78" s="2">
        <f>IF(OR(S78="",R78=0),"",ROUND(S78*R78,2))</f>
        <v/>
      </c>
      <c r="U78" s="2" t="inlineStr"/>
    </row>
    <row r="79">
      <c r="A79" s="2" t="inlineStr">
        <is>
          <t>D</t>
        </is>
      </c>
      <c r="B79" s="2" t="inlineStr">
        <is>
          <t>SUPERSTRUCTURE</t>
        </is>
      </c>
      <c r="C79" s="2" t="inlineStr">
        <is>
          <t>C</t>
        </is>
      </c>
      <c r="D79" s="2" t="inlineStr">
        <is>
          <t>200mm thick</t>
        </is>
      </c>
      <c r="E79" s="2" t="inlineStr">
        <is>
          <t>m²</t>
        </is>
      </c>
      <c r="F79" s="2" t="n">
        <v>75</v>
      </c>
      <c r="G79" s="2" t="n">
        <v>15</v>
      </c>
      <c r="H79" s="2" t="n">
        <v>116</v>
      </c>
      <c r="I79" s="2" t="n">
        <v>8</v>
      </c>
      <c r="J79" s="2" t="n">
        <v>155</v>
      </c>
      <c r="K79" s="2" t="n">
        <v>9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378</v>
      </c>
      <c r="R79" s="2" t="n">
        <v>5313</v>
      </c>
      <c r="S79" s="2" t="n"/>
      <c r="T79" s="2">
        <f>IF(OR(S79="",R79=0),"",ROUND(S79*R79,2))</f>
        <v/>
      </c>
      <c r="U79" s="2" t="inlineStr"/>
    </row>
    <row r="80">
      <c r="A80" s="2" t="inlineStr">
        <is>
          <t>D</t>
        </is>
      </c>
      <c r="B80" s="2" t="inlineStr">
        <is>
          <t>SUPERSTRUCTURE</t>
        </is>
      </c>
      <c r="C80" s="2" t="inlineStr">
        <is>
          <t>D</t>
        </is>
      </c>
      <c r="D80" s="2" t="inlineStr">
        <is>
          <t>Ref. W05, Solid Block Wall, 100mm thick (Acoustic Rating = Rw 40)</t>
        </is>
      </c>
      <c r="E80" s="2" t="inlineStr">
        <is>
          <t>m²</t>
        </is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8</v>
      </c>
      <c r="P80" s="2" t="n">
        <v>0</v>
      </c>
      <c r="Q80" s="2" t="n">
        <v>8</v>
      </c>
      <c r="R80" s="2" t="n">
        <v>8</v>
      </c>
      <c r="S80" s="2" t="n"/>
      <c r="T80" s="2">
        <f>IF(OR(S80="",R80=0),"",ROUND(S80*R80,2))</f>
        <v/>
      </c>
      <c r="U80" s="2" t="inlineStr"/>
    </row>
    <row r="81">
      <c r="A81" s="2" t="inlineStr">
        <is>
          <t>D</t>
        </is>
      </c>
      <c r="B81" s="2" t="inlineStr">
        <is>
          <t>SUPERSTRUCTURE</t>
        </is>
      </c>
      <c r="C81" s="2" t="inlineStr">
        <is>
          <t>D</t>
        </is>
      </c>
      <c r="D81" s="2" t="inlineStr">
        <is>
          <t>250mm thick</t>
        </is>
      </c>
      <c r="E81" s="2" t="inlineStr">
        <is>
          <t>m²</t>
        </is>
      </c>
      <c r="F81" s="2" t="n">
        <v>0</v>
      </c>
      <c r="G81" s="2" t="n">
        <v>6</v>
      </c>
      <c r="H81" s="2" t="n">
        <v>0</v>
      </c>
      <c r="I81" s="2" t="n">
        <v>9</v>
      </c>
      <c r="J81" s="2" t="n">
        <v>0</v>
      </c>
      <c r="K81" s="2" t="n">
        <v>14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29</v>
      </c>
      <c r="R81" s="2" t="n">
        <v>401</v>
      </c>
      <c r="S81" s="2" t="n"/>
      <c r="T81" s="2">
        <f>IF(OR(S81="",R81=0),"",ROUND(S81*R81,2))</f>
        <v/>
      </c>
      <c r="U81" s="2" t="inlineStr"/>
    </row>
    <row r="82">
      <c r="A82" s="2" t="inlineStr">
        <is>
          <t>D</t>
        </is>
      </c>
      <c r="B82" s="2" t="inlineStr">
        <is>
          <t>SUPERSTRUCTURE</t>
        </is>
      </c>
      <c r="C82" s="2" t="inlineStr">
        <is>
          <t>E</t>
        </is>
      </c>
      <c r="D82" s="2" t="inlineStr">
        <is>
          <t>100mm thick</t>
        </is>
      </c>
      <c r="E82" s="2" t="inlineStr">
        <is>
          <t>m²</t>
        </is>
      </c>
      <c r="F82" s="2" t="n">
        <v>583</v>
      </c>
      <c r="G82" s="2" t="n">
        <v>583</v>
      </c>
      <c r="H82" s="2" t="n">
        <v>820</v>
      </c>
      <c r="I82" s="2" t="n">
        <v>820</v>
      </c>
      <c r="J82" s="2" t="n">
        <v>1058</v>
      </c>
      <c r="K82" s="2" t="n">
        <v>1058</v>
      </c>
      <c r="L82" s="2" t="n">
        <v>251</v>
      </c>
      <c r="M82" s="2" t="n">
        <v>210</v>
      </c>
      <c r="N82" s="2" t="n">
        <v>38</v>
      </c>
      <c r="O82" s="2" t="n">
        <v>0</v>
      </c>
      <c r="P82" s="2" t="n">
        <v>0</v>
      </c>
      <c r="Q82" s="2" t="n">
        <v>5421</v>
      </c>
      <c r="R82" s="2" t="n">
        <v>79025</v>
      </c>
      <c r="S82" s="2" t="n"/>
      <c r="T82" s="2">
        <f>IF(OR(S82="",R82=0),"",ROUND(S82*R82,2))</f>
        <v/>
      </c>
      <c r="U82" s="2" t="inlineStr"/>
    </row>
    <row r="83">
      <c r="A83" s="2" t="inlineStr">
        <is>
          <t>D</t>
        </is>
      </c>
      <c r="B83" s="2" t="inlineStr">
        <is>
          <t>SUPERSTRUCTURE</t>
        </is>
      </c>
      <c r="C83" s="2" t="inlineStr">
        <is>
          <t>E</t>
        </is>
      </c>
      <c r="D83" s="2" t="inlineStr">
        <is>
          <t>200mm thick</t>
        </is>
      </c>
      <c r="E83" s="2" t="inlineStr">
        <is>
          <t>m²</t>
        </is>
      </c>
      <c r="F83" s="2" t="n">
        <v>288</v>
      </c>
      <c r="G83" s="2" t="n">
        <v>260</v>
      </c>
      <c r="H83" s="2" t="n">
        <v>423</v>
      </c>
      <c r="I83" s="2" t="n">
        <v>341</v>
      </c>
      <c r="J83" s="2" t="n">
        <v>490</v>
      </c>
      <c r="K83" s="2" t="n">
        <v>443</v>
      </c>
      <c r="L83" s="2" t="n">
        <v>4</v>
      </c>
      <c r="M83" s="2" t="n">
        <v>41</v>
      </c>
      <c r="N83" s="2" t="n">
        <v>34</v>
      </c>
      <c r="O83" s="2" t="n">
        <v>0</v>
      </c>
      <c r="P83" s="2" t="n">
        <v>0</v>
      </c>
      <c r="Q83" s="2" t="n">
        <v>2324</v>
      </c>
      <c r="R83" s="2" t="n">
        <v>33215</v>
      </c>
      <c r="S83" s="2" t="n"/>
      <c r="T83" s="2">
        <f>IF(OR(S83="",R83=0),"",ROUND(S83*R83,2))</f>
        <v/>
      </c>
      <c r="U83" s="2" t="inlineStr"/>
    </row>
    <row r="84">
      <c r="A84" s="2" t="inlineStr">
        <is>
          <t>D</t>
        </is>
      </c>
      <c r="B84" s="2" t="inlineStr">
        <is>
          <t>SUPERSTRUCTURE</t>
        </is>
      </c>
      <c r="C84" s="2" t="inlineStr">
        <is>
          <t>F</t>
        </is>
      </c>
      <c r="D84" s="2" t="inlineStr">
        <is>
          <t>200mm thick</t>
        </is>
      </c>
      <c r="E84" s="2" t="inlineStr">
        <is>
          <t>m²</t>
        </is>
      </c>
      <c r="F84" s="2" t="n">
        <v>200</v>
      </c>
      <c r="G84" s="2" t="n">
        <v>200</v>
      </c>
      <c r="H84" s="2" t="n">
        <v>372</v>
      </c>
      <c r="I84" s="2" t="n">
        <v>372</v>
      </c>
      <c r="J84" s="2" t="n">
        <v>431</v>
      </c>
      <c r="K84" s="2" t="n">
        <v>431</v>
      </c>
      <c r="L84" s="2" t="n">
        <v>58</v>
      </c>
      <c r="M84" s="2" t="n">
        <v>58</v>
      </c>
      <c r="N84" s="2" t="n">
        <v>275</v>
      </c>
      <c r="O84" s="2" t="n">
        <v>0</v>
      </c>
      <c r="P84" s="2" t="n">
        <v>0</v>
      </c>
      <c r="Q84" s="2" t="n">
        <v>2397</v>
      </c>
      <c r="R84" s="2" t="n">
        <v>31225</v>
      </c>
      <c r="S84" s="2" t="n"/>
      <c r="T84" s="2">
        <f>IF(OR(S84="",R84=0),"",ROUND(S84*R84,2))</f>
        <v/>
      </c>
      <c r="U84" s="2" t="inlineStr"/>
    </row>
    <row r="85">
      <c r="A85" s="2" t="inlineStr">
        <is>
          <t>D</t>
        </is>
      </c>
      <c r="B85" s="2" t="inlineStr">
        <is>
          <t>SUPERSTRUCTURE</t>
        </is>
      </c>
      <c r="C85" s="2" t="inlineStr">
        <is>
          <t>F</t>
        </is>
      </c>
      <c r="D85" s="2" t="inlineStr">
        <is>
          <t>250mm thick</t>
        </is>
      </c>
      <c r="E85" s="2" t="inlineStr">
        <is>
          <t>m²</t>
        </is>
      </c>
      <c r="F85" s="2" t="n">
        <v>18</v>
      </c>
      <c r="G85" s="2" t="n">
        <v>18</v>
      </c>
      <c r="H85" s="2" t="n">
        <v>31</v>
      </c>
      <c r="I85" s="2" t="n">
        <v>31</v>
      </c>
      <c r="J85" s="2" t="n">
        <v>45</v>
      </c>
      <c r="K85" s="2" t="n">
        <v>45</v>
      </c>
      <c r="L85" s="2" t="n">
        <v>227</v>
      </c>
      <c r="M85" s="2" t="n">
        <v>227</v>
      </c>
      <c r="N85" s="2" t="n">
        <v>283</v>
      </c>
      <c r="O85" s="2" t="n">
        <v>0</v>
      </c>
      <c r="P85" s="2" t="n">
        <v>0</v>
      </c>
      <c r="Q85" s="2" t="n">
        <v>925</v>
      </c>
      <c r="R85" s="2" t="n">
        <v>11277</v>
      </c>
      <c r="S85" s="2" t="n"/>
      <c r="T85" s="2">
        <f>IF(OR(S85="",R85=0),"",ROUND(S85*R85,2))</f>
        <v/>
      </c>
      <c r="U85" s="2" t="inlineStr"/>
    </row>
    <row r="86">
      <c r="A86" s="2" t="inlineStr">
        <is>
          <t>D</t>
        </is>
      </c>
      <c r="B86" s="2" t="inlineStr">
        <is>
          <t>SUPERSTRUCTURE</t>
        </is>
      </c>
      <c r="C86" s="2" t="inlineStr">
        <is>
          <t>F</t>
        </is>
      </c>
      <c r="D86" s="2" t="inlineStr">
        <is>
          <t>300mm thick</t>
        </is>
      </c>
      <c r="E86" s="2" t="inlineStr">
        <is>
          <t>m²</t>
        </is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49</v>
      </c>
      <c r="M86" s="2" t="n">
        <v>49</v>
      </c>
      <c r="N86" s="2" t="n">
        <v>0</v>
      </c>
      <c r="O86" s="2" t="n">
        <v>0</v>
      </c>
      <c r="P86" s="2" t="n">
        <v>0</v>
      </c>
      <c r="Q86" s="2" t="n">
        <v>98</v>
      </c>
      <c r="R86" s="2" t="n">
        <v>1813</v>
      </c>
      <c r="S86" s="2" t="n"/>
      <c r="T86" s="2">
        <f>IF(OR(S86="",R86=0),"",ROUND(S86*R86,2))</f>
        <v/>
      </c>
      <c r="U86" s="2" t="inlineStr"/>
    </row>
    <row r="87">
      <c r="A87" s="2" t="inlineStr">
        <is>
          <t>D</t>
        </is>
      </c>
      <c r="B87" s="2" t="inlineStr">
        <is>
          <t>SUPERSTRUCTURE</t>
        </is>
      </c>
      <c r="C87" s="2" t="inlineStr">
        <is>
          <t>G</t>
        </is>
      </c>
      <c r="D87" s="2" t="inlineStr">
        <is>
          <t>250mm thick</t>
        </is>
      </c>
      <c r="E87" s="2" t="inlineStr">
        <is>
          <t>m²</t>
        </is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2</v>
      </c>
      <c r="M87" s="2" t="n">
        <v>3</v>
      </c>
      <c r="N87" s="2" t="n">
        <v>0</v>
      </c>
      <c r="O87" s="2" t="n">
        <v>0</v>
      </c>
      <c r="P87" s="2" t="n">
        <v>0</v>
      </c>
      <c r="Q87" s="2" t="n">
        <v>5</v>
      </c>
      <c r="R87" s="2" t="n">
        <v>93</v>
      </c>
      <c r="S87" s="2" t="n"/>
      <c r="T87" s="2">
        <f>IF(OR(S87="",R87=0),"",ROUND(S87*R87,2))</f>
        <v/>
      </c>
      <c r="U87" s="2" t="inlineStr"/>
    </row>
    <row r="88">
      <c r="A88" s="2" t="inlineStr">
        <is>
          <t>D</t>
        </is>
      </c>
      <c r="B88" s="2" t="inlineStr">
        <is>
          <t>SUPERSTRUCTURE</t>
        </is>
      </c>
      <c r="C88" s="2" t="inlineStr">
        <is>
          <t>G</t>
        </is>
      </c>
      <c r="D88" s="2" t="inlineStr">
        <is>
          <t>Ref. W01, Thermal Insulated Blockwall, 250mm thick (Acoustic Rating Rw 50)</t>
        </is>
      </c>
      <c r="E88" s="2" t="inlineStr">
        <is>
          <t>m²</t>
        </is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24</v>
      </c>
      <c r="P88" s="2" t="n">
        <v>0</v>
      </c>
      <c r="Q88" s="2" t="n">
        <v>24</v>
      </c>
      <c r="R88" s="2" t="n">
        <v>24</v>
      </c>
      <c r="S88" s="2" t="n"/>
      <c r="T88" s="2">
        <f>IF(OR(S88="",R88=0),"",ROUND(S88*R88,2))</f>
        <v/>
      </c>
      <c r="U88" s="2" t="inlineStr"/>
    </row>
    <row r="89">
      <c r="A89" s="2" t="inlineStr">
        <is>
          <t>D</t>
        </is>
      </c>
      <c r="B89" s="2" t="inlineStr">
        <is>
          <t>SUPERSTRUCTURE</t>
        </is>
      </c>
      <c r="C89" s="2" t="inlineStr">
        <is>
          <t>H</t>
        </is>
      </c>
      <c r="D89" s="2" t="inlineStr">
        <is>
          <t>50mm thick</t>
        </is>
      </c>
      <c r="E89" s="2" t="inlineStr">
        <is>
          <t>m²</t>
        </is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5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5</v>
      </c>
      <c r="R89" s="2" t="n">
        <v>90</v>
      </c>
      <c r="S89" s="2" t="n"/>
      <c r="T89" s="2">
        <f>IF(OR(S89="",R89=0),"",ROUND(S89*R89,2))</f>
        <v/>
      </c>
      <c r="U89" s="2" t="inlineStr"/>
    </row>
    <row r="90">
      <c r="A90" s="2" t="inlineStr">
        <is>
          <t>D</t>
        </is>
      </c>
      <c r="B90" s="2" t="inlineStr">
        <is>
          <t>SUPERSTRUCTURE</t>
        </is>
      </c>
      <c r="C90" s="2" t="inlineStr">
        <is>
          <t>H</t>
        </is>
      </c>
      <c r="D90" s="2" t="inlineStr">
        <is>
          <t>Ref. W02, Thermal Insulated Blockwall, 200mm thick (Acoustic Rating - Rw 50)</t>
        </is>
      </c>
      <c r="E90" s="2" t="inlineStr">
        <is>
          <t>m²</t>
        </is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11</v>
      </c>
      <c r="P90" s="2" t="n">
        <v>0</v>
      </c>
      <c r="Q90" s="2" t="n">
        <v>11</v>
      </c>
      <c r="R90" s="2" t="n">
        <v>11</v>
      </c>
      <c r="S90" s="2" t="n"/>
      <c r="T90" s="2">
        <f>IF(OR(S90="",R90=0),"",ROUND(S90*R90,2))</f>
        <v/>
      </c>
      <c r="U90" s="2" t="inlineStr"/>
    </row>
    <row r="91">
      <c r="A91" s="2" t="inlineStr">
        <is>
          <t>D</t>
        </is>
      </c>
      <c r="B91" s="2" t="inlineStr">
        <is>
          <t>SUPERSTRUCTURE</t>
        </is>
      </c>
      <c r="C91" s="2" t="inlineStr">
        <is>
          <t>J</t>
        </is>
      </c>
      <c r="D91" s="2" t="inlineStr">
        <is>
          <t>100mm thick</t>
        </is>
      </c>
      <c r="E91" s="2" t="inlineStr">
        <is>
          <t>m²</t>
        </is>
      </c>
      <c r="F91" s="2" t="n">
        <v>0</v>
      </c>
      <c r="G91" s="2" t="n">
        <v>0</v>
      </c>
      <c r="H91" s="2" t="n">
        <v>0</v>
      </c>
      <c r="I91" s="2" t="n">
        <v>36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36</v>
      </c>
      <c r="R91" s="2" t="n">
        <v>828</v>
      </c>
      <c r="S91" s="2" t="n"/>
      <c r="T91" s="2">
        <f>IF(OR(S91="",R91=0),"",ROUND(S91*R91,2))</f>
        <v/>
      </c>
      <c r="U91" s="2" t="inlineStr"/>
    </row>
    <row r="92">
      <c r="A92" s="2" t="inlineStr">
        <is>
          <t>D</t>
        </is>
      </c>
      <c r="B92" s="2" t="inlineStr">
        <is>
          <t>SUPERSTRUCTURE</t>
        </is>
      </c>
      <c r="C92" s="2" t="inlineStr">
        <is>
          <t>J</t>
        </is>
      </c>
      <c r="D92" s="2" t="inlineStr">
        <is>
          <t>Ref. W03, Thermal Insulated Blockwall, 300mm thick (Acoustic Rating - Rw 50)</t>
        </is>
      </c>
      <c r="E92" s="2" t="inlineStr">
        <is>
          <t>m²</t>
        </is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1</v>
      </c>
      <c r="P92" s="2" t="n">
        <v>0</v>
      </c>
      <c r="Q92" s="2" t="n">
        <v>1</v>
      </c>
      <c r="R92" s="2" t="n">
        <v>1</v>
      </c>
      <c r="S92" s="2" t="n"/>
      <c r="T92" s="2">
        <f>IF(OR(S92="",R92=0),"",ROUND(S92*R92,2))</f>
        <v/>
      </c>
      <c r="U92" s="2" t="inlineStr"/>
    </row>
    <row r="93">
      <c r="A93" s="2" t="inlineStr">
        <is>
          <t>D</t>
        </is>
      </c>
      <c r="B93" s="2" t="inlineStr">
        <is>
          <t>SUPERSTRUCTURE</t>
        </is>
      </c>
      <c r="C93" s="2" t="inlineStr">
        <is>
          <t>K</t>
        </is>
      </c>
      <c r="D93" s="2" t="inlineStr">
        <is>
          <t>200mm thick</t>
        </is>
      </c>
      <c r="E93" s="2" t="inlineStr">
        <is>
          <t>m²</t>
        </is>
      </c>
      <c r="F93" s="2" t="n">
        <v>72</v>
      </c>
      <c r="G93" s="2" t="n">
        <v>72</v>
      </c>
      <c r="H93" s="2" t="n">
        <v>107</v>
      </c>
      <c r="I93" s="2" t="n">
        <v>107</v>
      </c>
      <c r="J93" s="2" t="n">
        <v>142</v>
      </c>
      <c r="K93" s="2" t="n">
        <v>142</v>
      </c>
      <c r="L93" s="2" t="n">
        <v>37</v>
      </c>
      <c r="M93" s="2" t="n">
        <v>5</v>
      </c>
      <c r="N93" s="2" t="n">
        <v>126</v>
      </c>
      <c r="O93" s="2" t="n">
        <v>0</v>
      </c>
      <c r="P93" s="2" t="n">
        <v>0</v>
      </c>
      <c r="Q93" s="2" t="n">
        <v>810</v>
      </c>
      <c r="R93" s="2" t="n">
        <v>9996</v>
      </c>
      <c r="S93" s="2" t="n"/>
      <c r="T93" s="2">
        <f>IF(OR(S93="",R93=0),"",ROUND(S93*R93,2))</f>
        <v/>
      </c>
      <c r="U93" s="2" t="inlineStr"/>
    </row>
    <row r="94">
      <c r="A94" s="2" t="inlineStr">
        <is>
          <t>D</t>
        </is>
      </c>
      <c r="B94" s="2" t="inlineStr">
        <is>
          <t>SUPERSTRUCTURE</t>
        </is>
      </c>
      <c r="C94" s="2" t="inlineStr">
        <is>
          <t>K</t>
        </is>
      </c>
      <c r="D94" s="2" t="inlineStr">
        <is>
          <t>100mm thick</t>
        </is>
      </c>
      <c r="E94" s="2" t="inlineStr">
        <is>
          <t>m²</t>
        </is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2</v>
      </c>
      <c r="M94" s="2" t="n">
        <v>2</v>
      </c>
      <c r="N94" s="2" t="n">
        <v>0</v>
      </c>
      <c r="O94" s="2" t="n">
        <v>0</v>
      </c>
      <c r="P94" s="2" t="n">
        <v>0</v>
      </c>
      <c r="Q94" s="2" t="n">
        <v>4</v>
      </c>
      <c r="R94" s="2" t="n">
        <v>74</v>
      </c>
      <c r="S94" s="2" t="n"/>
      <c r="T94" s="2">
        <f>IF(OR(S94="",R94=0),"",ROUND(S94*R94,2))</f>
        <v/>
      </c>
      <c r="U94" s="2" t="inlineStr"/>
    </row>
    <row r="95">
      <c r="A95" s="2" t="inlineStr">
        <is>
          <t>D</t>
        </is>
      </c>
      <c r="B95" s="2" t="inlineStr">
        <is>
          <t>SUPERSTRUCTURE</t>
        </is>
      </c>
      <c r="C95" s="2" t="inlineStr">
        <is>
          <t>L</t>
        </is>
      </c>
      <c r="D95" s="2" t="inlineStr">
        <is>
          <t>250mm thick</t>
        </is>
      </c>
      <c r="E95" s="2" t="inlineStr">
        <is>
          <t>m²</t>
        </is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26</v>
      </c>
      <c r="M95" s="2" t="n">
        <v>25</v>
      </c>
      <c r="N95" s="2" t="n">
        <v>0</v>
      </c>
      <c r="O95" s="2" t="n">
        <v>0</v>
      </c>
      <c r="P95" s="2" t="n">
        <v>0</v>
      </c>
      <c r="Q95" s="2" t="n">
        <v>51</v>
      </c>
      <c r="R95" s="2" t="n">
        <v>943</v>
      </c>
      <c r="S95" s="2" t="n"/>
      <c r="T95" s="2">
        <f>IF(OR(S95="",R95=0),"",ROUND(S95*R95,2))</f>
        <v/>
      </c>
      <c r="U95" s="2" t="inlineStr"/>
    </row>
    <row r="96">
      <c r="A96" s="2" t="inlineStr">
        <is>
          <t>D</t>
        </is>
      </c>
      <c r="B96" s="2" t="inlineStr">
        <is>
          <t>SUPERSTRUCTURE</t>
        </is>
      </c>
      <c r="C96" s="2" t="inlineStr">
        <is>
          <t>L</t>
        </is>
      </c>
      <c r="D96" s="2" t="inlineStr">
        <is>
          <t>150mm thick</t>
        </is>
      </c>
      <c r="E96" s="2" t="inlineStr">
        <is>
          <t>m²</t>
        </is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49</v>
      </c>
      <c r="O96" s="2" t="n">
        <v>0</v>
      </c>
      <c r="P96" s="2" t="n">
        <v>0</v>
      </c>
      <c r="Q96" s="2" t="n">
        <v>49</v>
      </c>
      <c r="R96" s="2" t="n">
        <v>49</v>
      </c>
      <c r="S96" s="2" t="n"/>
      <c r="T96" s="2">
        <f>IF(OR(S96="",R96=0),"",ROUND(S96*R96,2))</f>
        <v/>
      </c>
      <c r="U96" s="2" t="inlineStr"/>
    </row>
    <row r="97">
      <c r="A97" s="2" t="inlineStr">
        <is>
          <t>D</t>
        </is>
      </c>
      <c r="B97" s="2" t="inlineStr">
        <is>
          <t>SUPERSTRUCTURE</t>
        </is>
      </c>
      <c r="C97" s="2" t="inlineStr">
        <is>
          <t>M</t>
        </is>
      </c>
      <c r="D97" s="2" t="inlineStr">
        <is>
          <t>200mm thick</t>
        </is>
      </c>
      <c r="E97" s="2" t="inlineStr">
        <is>
          <t>m²</t>
        </is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22</v>
      </c>
      <c r="M97" s="2" t="n">
        <v>9</v>
      </c>
      <c r="N97" s="2" t="n">
        <v>12</v>
      </c>
      <c r="O97" s="2" t="n">
        <v>0</v>
      </c>
      <c r="P97" s="2" t="n">
        <v>0</v>
      </c>
      <c r="Q97" s="2" t="n">
        <v>43</v>
      </c>
      <c r="R97" s="2" t="n">
        <v>579</v>
      </c>
      <c r="S97" s="2" t="n"/>
      <c r="T97" s="2">
        <f>IF(OR(S97="",R97=0),"",ROUND(S97*R97,2))</f>
        <v/>
      </c>
      <c r="U97" s="2" t="inlineStr"/>
    </row>
    <row r="98">
      <c r="A98" s="2" t="inlineStr">
        <is>
          <t>D</t>
        </is>
      </c>
      <c r="B98" s="2" t="inlineStr">
        <is>
          <t>SUPERSTRUCTURE</t>
        </is>
      </c>
      <c r="C98" s="2" t="inlineStr">
        <is>
          <t>N</t>
        </is>
      </c>
      <c r="D98" s="2" t="inlineStr">
        <is>
          <t>250mm thick</t>
        </is>
      </c>
      <c r="E98" s="2" t="inlineStr">
        <is>
          <t>m²</t>
        </is>
      </c>
      <c r="F98" s="2" t="n">
        <v>3</v>
      </c>
      <c r="G98" s="2" t="n">
        <v>3</v>
      </c>
      <c r="H98" s="2" t="n">
        <v>9</v>
      </c>
      <c r="I98" s="2" t="n">
        <v>9</v>
      </c>
      <c r="J98" s="2" t="n">
        <v>15</v>
      </c>
      <c r="K98" s="2" t="n">
        <v>15</v>
      </c>
      <c r="L98" s="2" t="n">
        <v>31</v>
      </c>
      <c r="M98" s="2" t="n">
        <v>19</v>
      </c>
      <c r="N98" s="2" t="n">
        <v>0</v>
      </c>
      <c r="O98" s="2" t="n">
        <v>0</v>
      </c>
      <c r="P98" s="2" t="n">
        <v>0</v>
      </c>
      <c r="Q98" s="2" t="n">
        <v>104</v>
      </c>
      <c r="R98" s="2" t="n">
        <v>1621</v>
      </c>
      <c r="S98" s="2" t="n"/>
      <c r="T98" s="2">
        <f>IF(OR(S98="",R98=0),"",ROUND(S98*R98,2))</f>
        <v/>
      </c>
      <c r="U98" s="2" t="inlineStr"/>
    </row>
    <row r="99">
      <c r="A99" s="2" t="inlineStr">
        <is>
          <t>D</t>
        </is>
      </c>
      <c r="B99" s="2" t="inlineStr">
        <is>
          <t>SUPERSTRUCTURE</t>
        </is>
      </c>
      <c r="C99" s="2" t="inlineStr">
        <is>
          <t>P</t>
        </is>
      </c>
      <c r="D99" s="2" t="inlineStr">
        <is>
          <t>400mm thick</t>
        </is>
      </c>
      <c r="E99" s="2" t="inlineStr">
        <is>
          <t>m²</t>
        </is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3</v>
      </c>
      <c r="M99" s="2" t="n">
        <v>3</v>
      </c>
      <c r="N99" s="2" t="n">
        <v>0</v>
      </c>
      <c r="O99" s="2" t="n">
        <v>0</v>
      </c>
      <c r="P99" s="2" t="n">
        <v>0</v>
      </c>
      <c r="Q99" s="2" t="n">
        <v>6</v>
      </c>
      <c r="R99" s="2" t="n">
        <v>111</v>
      </c>
      <c r="S99" s="2" t="n"/>
      <c r="T99" s="2">
        <f>IF(OR(S99="",R99=0),"",ROUND(S99*R99,2))</f>
        <v/>
      </c>
      <c r="U99" s="2" t="inlineStr"/>
    </row>
    <row r="100">
      <c r="A100" s="2" t="inlineStr">
        <is>
          <t>D</t>
        </is>
      </c>
      <c r="B100" s="2" t="inlineStr">
        <is>
          <t>SUPERSTRUCTURE</t>
        </is>
      </c>
      <c r="C100" s="2" t="inlineStr">
        <is>
          <t>Q</t>
        </is>
      </c>
      <c r="D100" s="2" t="inlineStr">
        <is>
          <t>100mm thick</t>
        </is>
      </c>
      <c r="E100" s="2" t="inlineStr">
        <is>
          <t>m²</t>
        </is>
      </c>
      <c r="F100" s="2" t="n">
        <v>5</v>
      </c>
      <c r="G100" s="2" t="n">
        <v>5</v>
      </c>
      <c r="H100" s="2" t="n">
        <v>10</v>
      </c>
      <c r="I100" s="2" t="n">
        <v>10</v>
      </c>
      <c r="J100" s="2" t="n">
        <v>15</v>
      </c>
      <c r="K100" s="2" t="n">
        <v>15</v>
      </c>
      <c r="L100" s="2" t="n">
        <v>26</v>
      </c>
      <c r="M100" s="2" t="n">
        <v>35</v>
      </c>
      <c r="N100" s="2" t="n">
        <v>0</v>
      </c>
      <c r="O100" s="2" t="n">
        <v>0</v>
      </c>
      <c r="P100" s="2" t="n">
        <v>0</v>
      </c>
      <c r="Q100" s="2" t="n">
        <v>121</v>
      </c>
      <c r="R100" s="2" t="n">
        <v>1948</v>
      </c>
      <c r="S100" s="2" t="n"/>
      <c r="T100" s="2">
        <f>IF(OR(S100="",R100=0),"",ROUND(S100*R100,2))</f>
        <v/>
      </c>
      <c r="U100" s="2" t="inlineStr"/>
    </row>
    <row r="101">
      <c r="A101" s="2" t="inlineStr">
        <is>
          <t>D</t>
        </is>
      </c>
      <c r="B101" s="2" t="inlineStr">
        <is>
          <t>SUPERSTRUCTURE</t>
        </is>
      </c>
      <c r="C101" s="2" t="inlineStr">
        <is>
          <t>R</t>
        </is>
      </c>
      <c r="D101" s="2" t="inlineStr">
        <is>
          <t>200mm thick</t>
        </is>
      </c>
      <c r="E101" s="2" t="inlineStr">
        <is>
          <t>m²</t>
        </is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76</v>
      </c>
      <c r="M101" s="2" t="n">
        <v>76</v>
      </c>
      <c r="N101" s="2" t="n">
        <v>0</v>
      </c>
      <c r="O101" s="2" t="n">
        <v>0</v>
      </c>
      <c r="P101" s="2" t="n">
        <v>0</v>
      </c>
      <c r="Q101" s="2" t="n">
        <v>152</v>
      </c>
      <c r="R101" s="2" t="n">
        <v>2812</v>
      </c>
      <c r="S101" s="2" t="n"/>
      <c r="T101" s="2">
        <f>IF(OR(S101="",R101=0),"",ROUND(S101*R101,2))</f>
        <v/>
      </c>
      <c r="U101" s="2" t="inlineStr"/>
    </row>
    <row r="102">
      <c r="A102" s="2" t="inlineStr">
        <is>
          <t>E</t>
        </is>
      </c>
      <c r="B102" s="2" t="inlineStr">
        <is>
          <t>NON-STRUCTURAL METALWORK</t>
        </is>
      </c>
      <c r="C102" s="2" t="inlineStr">
        <is>
          <t>A</t>
        </is>
      </c>
      <c r="D102" s="2" t="inlineStr">
        <is>
          <t>1200mm high railing, externally; to balconies</t>
        </is>
      </c>
      <c r="E102" s="2" t="inlineStr">
        <is>
          <t>m</t>
        </is>
      </c>
      <c r="F102" s="2" t="n">
        <v>17</v>
      </c>
      <c r="G102" s="2" t="n">
        <v>21</v>
      </c>
      <c r="H102" s="2" t="n">
        <v>28</v>
      </c>
      <c r="I102" s="2" t="n">
        <v>34</v>
      </c>
      <c r="J102" s="2" t="n">
        <v>38</v>
      </c>
      <c r="K102" s="2" t="n">
        <v>47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185</v>
      </c>
      <c r="R102" s="2" t="n">
        <v>2594</v>
      </c>
      <c r="S102" s="2" t="n"/>
      <c r="T102" s="2">
        <f>IF(OR(S102="",R102=0),"",ROUND(S102*R102,2))</f>
        <v/>
      </c>
      <c r="U102" s="2" t="inlineStr"/>
    </row>
    <row r="103">
      <c r="A103" s="2" t="inlineStr">
        <is>
          <t>E</t>
        </is>
      </c>
      <c r="B103" s="2" t="inlineStr">
        <is>
          <t>NON-STRUCTURAL METALWORK</t>
        </is>
      </c>
      <c r="C103" s="2" t="inlineStr">
        <is>
          <t>A</t>
        </is>
      </c>
      <c r="D103" s="2" t="inlineStr">
        <is>
          <t>Retractable Ladder, 3.20m H</t>
        </is>
      </c>
      <c r="E103" s="2" t="inlineStr">
        <is>
          <t>No</t>
        </is>
      </c>
      <c r="F103" s="2" t="n">
        <v>4</v>
      </c>
      <c r="G103" s="2" t="n">
        <v>4</v>
      </c>
      <c r="H103" s="2" t="n">
        <v>6</v>
      </c>
      <c r="I103" s="2" t="n">
        <v>6</v>
      </c>
      <c r="J103" s="2" t="n">
        <v>8</v>
      </c>
      <c r="K103" s="2" t="n">
        <v>8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36</v>
      </c>
      <c r="R103" s="2" t="n">
        <v>510</v>
      </c>
      <c r="S103" s="2" t="n"/>
      <c r="T103" s="2">
        <f>IF(OR(S103="",R103=0),"",ROUND(S103*R103,2))</f>
        <v/>
      </c>
      <c r="U103" s="2" t="inlineStr"/>
    </row>
    <row r="104">
      <c r="A104" s="2" t="inlineStr">
        <is>
          <t>E</t>
        </is>
      </c>
      <c r="B104" s="2" t="inlineStr">
        <is>
          <t>NON-STRUCTURAL METALWORK</t>
        </is>
      </c>
      <c r="C104" s="2" t="inlineStr">
        <is>
          <t>B</t>
        </is>
      </c>
      <c r="D104" s="2" t="inlineStr">
        <is>
          <t>1200mm high railing, externally; to terrace</t>
        </is>
      </c>
      <c r="E104" s="2" t="inlineStr">
        <is>
          <t>m</t>
        </is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26</v>
      </c>
      <c r="M104" s="2" t="n">
        <v>26</v>
      </c>
      <c r="N104" s="2" t="n">
        <v>0</v>
      </c>
      <c r="O104" s="2" t="n">
        <v>0</v>
      </c>
      <c r="P104" s="2" t="n">
        <v>0</v>
      </c>
      <c r="Q104" s="2" t="n">
        <v>52</v>
      </c>
      <c r="R104" s="2" t="n">
        <v>962</v>
      </c>
      <c r="S104" s="2" t="n"/>
      <c r="T104" s="2">
        <f>IF(OR(S104="",R104=0),"",ROUND(S104*R104,2))</f>
        <v/>
      </c>
      <c r="U104" s="2" t="inlineStr"/>
    </row>
    <row r="105">
      <c r="A105" s="2" t="inlineStr">
        <is>
          <t>E</t>
        </is>
      </c>
      <c r="B105" s="2" t="inlineStr">
        <is>
          <t>NON-STRUCTURAL METALWORK</t>
        </is>
      </c>
      <c r="C105" s="2" t="inlineStr">
        <is>
          <t>B</t>
        </is>
      </c>
      <c r="D105" s="2" t="inlineStr">
        <is>
          <t>Lift Pit Ladder, 1.50m H</t>
        </is>
      </c>
      <c r="E105" s="2" t="inlineStr">
        <is>
          <t>No</t>
        </is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</v>
      </c>
      <c r="M105" s="2" t="n">
        <v>1</v>
      </c>
      <c r="N105" s="2" t="n">
        <v>0</v>
      </c>
      <c r="O105" s="2" t="n">
        <v>0</v>
      </c>
      <c r="P105" s="2" t="n">
        <v>0</v>
      </c>
      <c r="Q105" s="2" t="n">
        <v>2</v>
      </c>
      <c r="R105" s="2" t="n">
        <v>37</v>
      </c>
      <c r="S105" s="2" t="n"/>
      <c r="T105" s="2">
        <f>IF(OR(S105="",R105=0),"",ROUND(S105*R105,2))</f>
        <v/>
      </c>
      <c r="U105" s="2" t="inlineStr"/>
    </row>
    <row r="106">
      <c r="A106" s="2" t="inlineStr">
        <is>
          <t>E</t>
        </is>
      </c>
      <c r="B106" s="2" t="inlineStr">
        <is>
          <t>NON-STRUCTURAL METALWORK</t>
        </is>
      </c>
      <c r="C106" s="2" t="inlineStr">
        <is>
          <t>C</t>
        </is>
      </c>
      <c r="D106" s="2" t="inlineStr">
        <is>
          <t>Roof access hatch, opening size 800mm L x 800mm W</t>
        </is>
      </c>
      <c r="E106" s="2" t="inlineStr">
        <is>
          <t>No</t>
        </is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1</v>
      </c>
      <c r="P106" s="2" t="n">
        <v>0</v>
      </c>
      <c r="Q106" s="2" t="n">
        <v>1</v>
      </c>
      <c r="R106" s="2" t="n">
        <v>1</v>
      </c>
      <c r="S106" s="2" t="n"/>
      <c r="T106" s="2">
        <f>IF(OR(S106="",R106=0),"",ROUND(S106*R106,2))</f>
        <v/>
      </c>
      <c r="U106" s="2" t="inlineStr"/>
    </row>
    <row r="107">
      <c r="A107" s="2" t="inlineStr">
        <is>
          <t>E</t>
        </is>
      </c>
      <c r="B107" s="2" t="inlineStr">
        <is>
          <t>NON-STRUCTURAL METALWORK</t>
        </is>
      </c>
      <c r="C107" s="2" t="inlineStr">
        <is>
          <t>C</t>
        </is>
      </c>
      <c r="D107" s="2" t="inlineStr">
        <is>
          <t>Ladder, 2750 mm H, as per detail 3, drawing No. ARC-4101-00</t>
        </is>
      </c>
      <c r="E107" s="2" t="inlineStr">
        <is>
          <t>No</t>
        </is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4</v>
      </c>
      <c r="O107" s="2" t="n">
        <v>0</v>
      </c>
      <c r="P107" s="2" t="n">
        <v>0</v>
      </c>
      <c r="Q107" s="2" t="n">
        <v>4</v>
      </c>
      <c r="R107" s="2" t="n">
        <v>4</v>
      </c>
      <c r="S107" s="2" t="n"/>
      <c r="T107" s="2">
        <f>IF(OR(S107="",R107=0),"",ROUND(S107*R107,2))</f>
        <v/>
      </c>
      <c r="U107" s="2" t="inlineStr"/>
    </row>
    <row r="108">
      <c r="A108" s="2" t="inlineStr">
        <is>
          <t>E</t>
        </is>
      </c>
      <c r="B108" s="2" t="inlineStr">
        <is>
          <t>NON-STRUCTURAL METALWORK</t>
        </is>
      </c>
      <c r="C108" s="2" t="inlineStr">
        <is>
          <t>D</t>
        </is>
      </c>
      <c r="D108" s="2" t="inlineStr">
        <is>
          <t>Roof access hatch, overall size 1200mm L x 1200mm W</t>
        </is>
      </c>
      <c r="E108" s="2" t="inlineStr">
        <is>
          <t>No</t>
        </is>
      </c>
      <c r="F108" s="2" t="n">
        <v>4</v>
      </c>
      <c r="G108" s="2" t="n">
        <v>4</v>
      </c>
      <c r="H108" s="2" t="n">
        <v>6</v>
      </c>
      <c r="I108" s="2" t="n">
        <v>6</v>
      </c>
      <c r="J108" s="2" t="n">
        <v>8</v>
      </c>
      <c r="K108" s="2" t="n">
        <v>8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36</v>
      </c>
      <c r="R108" s="2" t="n">
        <v>510</v>
      </c>
      <c r="S108" s="2" t="n"/>
      <c r="T108" s="2">
        <f>IF(OR(S108="",R108=0),"",ROUND(S108*R108,2))</f>
        <v/>
      </c>
      <c r="U108" s="2" t="inlineStr"/>
    </row>
    <row r="109">
      <c r="A109" s="2" t="inlineStr">
        <is>
          <t>E</t>
        </is>
      </c>
      <c r="B109" s="2" t="inlineStr">
        <is>
          <t>NON-STRUCTURAL METALWORK</t>
        </is>
      </c>
      <c r="C109" s="2" t="inlineStr">
        <is>
          <t>D</t>
        </is>
      </c>
      <c r="D109" s="2" t="inlineStr">
        <is>
          <t>Ladder, 4550 mm H, as per detail 3, drawing No. ARC-4500-00</t>
        </is>
      </c>
      <c r="E109" s="2" t="inlineStr">
        <is>
          <t>No</t>
        </is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1</v>
      </c>
      <c r="O109" s="2" t="n">
        <v>0</v>
      </c>
      <c r="P109" s="2" t="n">
        <v>0</v>
      </c>
      <c r="Q109" s="2" t="n">
        <v>1</v>
      </c>
      <c r="R109" s="2" t="n">
        <v>1</v>
      </c>
      <c r="S109" s="2" t="n"/>
      <c r="T109" s="2">
        <f>IF(OR(S109="",R109=0),"",ROUND(S109*R109,2))</f>
        <v/>
      </c>
      <c r="U109" s="2" t="inlineStr"/>
    </row>
    <row r="110">
      <c r="A110" s="2" t="inlineStr">
        <is>
          <t>E</t>
        </is>
      </c>
      <c r="B110" s="2" t="inlineStr">
        <is>
          <t>NON-STRUCTURAL METALWORK</t>
        </is>
      </c>
      <c r="C110" s="2" t="inlineStr">
        <is>
          <t>E</t>
        </is>
      </c>
      <c r="D110" s="2" t="inlineStr">
        <is>
          <t>Pump room access hatch, size 1400 mm L x 1400 mm W</t>
        </is>
      </c>
      <c r="E110" s="2" t="inlineStr">
        <is>
          <t>No</t>
        </is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1</v>
      </c>
      <c r="O110" s="2" t="n">
        <v>0</v>
      </c>
      <c r="P110" s="2" t="n">
        <v>0</v>
      </c>
      <c r="Q110" s="2" t="n">
        <v>1</v>
      </c>
      <c r="R110" s="2" t="n">
        <v>1</v>
      </c>
      <c r="S110" s="2" t="n"/>
      <c r="T110" s="2">
        <f>IF(OR(S110="",R110=0),"",ROUND(S110*R110,2))</f>
        <v/>
      </c>
      <c r="U110" s="2" t="inlineStr"/>
    </row>
    <row r="111">
      <c r="A111" s="2" t="inlineStr">
        <is>
          <t>E</t>
        </is>
      </c>
      <c r="B111" s="2" t="inlineStr">
        <is>
          <t>NON-STRUCTURAL METALWORK</t>
        </is>
      </c>
      <c r="C111" s="2" t="inlineStr">
        <is>
          <t>E</t>
        </is>
      </c>
      <c r="D111" s="2" t="inlineStr">
        <is>
          <t>Ladder, 5170 mm H, as per detail 4, drawing No. ARC-3500-00</t>
        </is>
      </c>
      <c r="E111" s="2" t="inlineStr">
        <is>
          <t>No</t>
        </is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1</v>
      </c>
      <c r="O111" s="2" t="n">
        <v>0</v>
      </c>
      <c r="P111" s="2" t="n">
        <v>0</v>
      </c>
      <c r="Q111" s="2" t="n">
        <v>1</v>
      </c>
      <c r="R111" s="2" t="n">
        <v>1</v>
      </c>
      <c r="S111" s="2" t="n"/>
      <c r="T111" s="2">
        <f>IF(OR(S111="",R111=0),"",ROUND(S111*R111,2))</f>
        <v/>
      </c>
      <c r="U111" s="2" t="inlineStr"/>
    </row>
    <row r="112">
      <c r="A112" s="2" t="inlineStr">
        <is>
          <t>E</t>
        </is>
      </c>
      <c r="B112" s="2" t="inlineStr">
        <is>
          <t>NON-STRUCTURAL METALWORK</t>
        </is>
      </c>
      <c r="C112" s="2" t="inlineStr">
        <is>
          <t>F</t>
        </is>
      </c>
      <c r="D112" s="2" t="inlineStr">
        <is>
          <t>Water tank access hatch, size 600 mm L x 600 mm W</t>
        </is>
      </c>
      <c r="E112" s="2" t="inlineStr">
        <is>
          <t>No</t>
        </is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3</v>
      </c>
      <c r="O112" s="2" t="n">
        <v>0</v>
      </c>
      <c r="P112" s="2" t="n">
        <v>0</v>
      </c>
      <c r="Q112" s="2" t="n">
        <v>3</v>
      </c>
      <c r="R112" s="2" t="n">
        <v>3</v>
      </c>
      <c r="S112" s="2" t="n"/>
      <c r="T112" s="2">
        <f>IF(OR(S112="",R112=0),"",ROUND(S112*R112,2))</f>
        <v/>
      </c>
      <c r="U112" s="2" t="inlineStr"/>
    </row>
    <row r="113">
      <c r="A113" s="2" t="inlineStr">
        <is>
          <t>E</t>
        </is>
      </c>
      <c r="B113" s="2" t="inlineStr">
        <is>
          <t>NON-STRUCTURAL METALWORK</t>
        </is>
      </c>
      <c r="C113" s="2" t="inlineStr">
        <is>
          <t>F</t>
        </is>
      </c>
      <c r="D113" s="2" t="inlineStr">
        <is>
          <t>Ladder, 5220 mm H, as per detail 3, drawing No. ARC-2500-00</t>
        </is>
      </c>
      <c r="E113" s="2" t="inlineStr">
        <is>
          <t>No</t>
        </is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1</v>
      </c>
      <c r="O113" s="2" t="n">
        <v>0</v>
      </c>
      <c r="P113" s="2" t="n">
        <v>0</v>
      </c>
      <c r="Q113" s="2" t="n">
        <v>1</v>
      </c>
      <c r="R113" s="2" t="n">
        <v>1</v>
      </c>
      <c r="S113" s="2" t="n"/>
      <c r="T113" s="2">
        <f>IF(OR(S113="",R113=0),"",ROUND(S113*R113,2))</f>
        <v/>
      </c>
      <c r="U113" s="2" t="inlineStr"/>
    </row>
    <row r="114">
      <c r="A114" s="2" t="inlineStr">
        <is>
          <t>E</t>
        </is>
      </c>
      <c r="B114" s="2" t="inlineStr">
        <is>
          <t>NON-STRUCTURAL METALWORK</t>
        </is>
      </c>
      <c r="C114" s="2" t="inlineStr">
        <is>
          <t>G</t>
        </is>
      </c>
      <c r="D114" s="2" t="inlineStr">
        <is>
          <t>To Exterior Wall</t>
        </is>
      </c>
      <c r="E114" s="2" t="inlineStr">
        <is>
          <t>m</t>
        </is>
      </c>
      <c r="F114" s="2" t="n">
        <v>87</v>
      </c>
      <c r="G114" s="2" t="n">
        <v>0</v>
      </c>
      <c r="H114" s="2" t="n">
        <v>79</v>
      </c>
      <c r="I114" s="2" t="n">
        <v>0</v>
      </c>
      <c r="J114" s="2" t="n">
        <v>81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247</v>
      </c>
      <c r="R114" s="2" t="n">
        <v>3820</v>
      </c>
      <c r="S114" s="2" t="n"/>
      <c r="T114" s="2">
        <f>IF(OR(S114="",R114=0),"",ROUND(S114*R114,2))</f>
        <v/>
      </c>
      <c r="U114" s="2" t="inlineStr"/>
    </row>
    <row r="115">
      <c r="A115" s="2" t="inlineStr">
        <is>
          <t>E</t>
        </is>
      </c>
      <c r="B115" s="2" t="inlineStr">
        <is>
          <t>NON-STRUCTURAL METALWORK</t>
        </is>
      </c>
      <c r="C115" s="2" t="inlineStr">
        <is>
          <t>H</t>
        </is>
      </c>
      <c r="D115" s="2" t="inlineStr">
        <is>
          <t>To Garbage room roof</t>
        </is>
      </c>
      <c r="E115" s="2" t="inlineStr">
        <is>
          <t>m²</t>
        </is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3</v>
      </c>
      <c r="M115" s="2" t="n">
        <v>3</v>
      </c>
      <c r="N115" s="2" t="n">
        <v>0</v>
      </c>
      <c r="O115" s="2" t="n">
        <v>0</v>
      </c>
      <c r="P115" s="2" t="n">
        <v>0</v>
      </c>
      <c r="Q115" s="2" t="n">
        <v>6</v>
      </c>
      <c r="R115" s="2" t="n">
        <v>111</v>
      </c>
      <c r="S115" s="2" t="n"/>
      <c r="T115" s="2">
        <f>IF(OR(S115="",R115=0),"",ROUND(S115*R115,2))</f>
        <v/>
      </c>
      <c r="U115" s="2" t="inlineStr"/>
    </row>
    <row r="116">
      <c r="A116" s="2" t="inlineStr">
        <is>
          <t>E</t>
        </is>
      </c>
      <c r="B116" s="2" t="inlineStr">
        <is>
          <t>NON-STRUCTURAL METALWORK</t>
        </is>
      </c>
      <c r="C116" s="2" t="inlineStr">
        <is>
          <t>J</t>
        </is>
      </c>
      <c r="D116" s="2" t="inlineStr">
        <is>
          <t>To Terrace</t>
        </is>
      </c>
      <c r="E116" s="2" t="inlineStr">
        <is>
          <t>m²</t>
        </is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7</v>
      </c>
      <c r="M116" s="2" t="n">
        <v>7</v>
      </c>
      <c r="N116" s="2" t="n">
        <v>0</v>
      </c>
      <c r="O116" s="2" t="n">
        <v>0</v>
      </c>
      <c r="P116" s="2" t="n">
        <v>0</v>
      </c>
      <c r="Q116" s="2" t="n">
        <v>14</v>
      </c>
      <c r="R116" s="2" t="n">
        <v>259</v>
      </c>
      <c r="S116" s="2" t="n"/>
      <c r="T116" s="2">
        <f>IF(OR(S116="",R116=0),"",ROUND(S116*R116,2))</f>
        <v/>
      </c>
      <c r="U116" s="2" t="inlineStr"/>
    </row>
    <row r="117">
      <c r="A117" s="2" t="inlineStr">
        <is>
          <t>E</t>
        </is>
      </c>
      <c r="B117" s="2" t="inlineStr">
        <is>
          <t>NON-STRUCTURAL METALWORK</t>
        </is>
      </c>
      <c r="C117" s="2" t="inlineStr">
        <is>
          <t>K</t>
        </is>
      </c>
      <c r="D117" s="2" t="inlineStr">
        <is>
          <t>To Second floor at accessible MEP area</t>
        </is>
      </c>
      <c r="E117" s="2" t="inlineStr">
        <is>
          <t>m²</t>
        </is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10</v>
      </c>
      <c r="M117" s="2" t="n">
        <v>10</v>
      </c>
      <c r="N117" s="2" t="n">
        <v>0</v>
      </c>
      <c r="O117" s="2" t="n">
        <v>0</v>
      </c>
      <c r="P117" s="2" t="n">
        <v>0</v>
      </c>
      <c r="Q117" s="2" t="n">
        <v>20</v>
      </c>
      <c r="R117" s="2" t="n">
        <v>370</v>
      </c>
      <c r="S117" s="2" t="n"/>
      <c r="T117" s="2">
        <f>IF(OR(S117="",R117=0),"",ROUND(S117*R117,2))</f>
        <v/>
      </c>
      <c r="U117" s="2" t="inlineStr"/>
    </row>
    <row r="118">
      <c r="A118" s="2" t="inlineStr">
        <is>
          <t>E</t>
        </is>
      </c>
      <c r="B118" s="2" t="inlineStr">
        <is>
          <t>NON-STRUCTURAL METALWORK</t>
        </is>
      </c>
      <c r="C118" s="2" t="inlineStr">
        <is>
          <t>L</t>
        </is>
      </c>
      <c r="D118" s="2" t="inlineStr">
        <is>
          <t>To Roof floor at top of parapet wall</t>
        </is>
      </c>
      <c r="E118" s="2" t="inlineStr">
        <is>
          <t>m²</t>
        </is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11</v>
      </c>
      <c r="M118" s="2" t="n">
        <v>11</v>
      </c>
      <c r="N118" s="2" t="n">
        <v>0</v>
      </c>
      <c r="O118" s="2" t="n">
        <v>0</v>
      </c>
      <c r="P118" s="2" t="n">
        <v>0</v>
      </c>
      <c r="Q118" s="2" t="n">
        <v>22</v>
      </c>
      <c r="R118" s="2" t="n">
        <v>407</v>
      </c>
      <c r="S118" s="2" t="n"/>
      <c r="T118" s="2">
        <f>IF(OR(S118="",R118=0),"",ROUND(S118*R118,2))</f>
        <v/>
      </c>
      <c r="U118" s="2" t="inlineStr"/>
    </row>
    <row r="119">
      <c r="A119" s="2" t="inlineStr">
        <is>
          <t>E</t>
        </is>
      </c>
      <c r="B119" s="2" t="inlineStr">
        <is>
          <t>NON-STRUCTURAL METALWORK</t>
        </is>
      </c>
      <c r="C119" s="2" t="inlineStr">
        <is>
          <t>M</t>
        </is>
      </c>
      <c r="D119" s="2" t="inlineStr">
        <is>
          <t>To Roof floor at top of lift roof</t>
        </is>
      </c>
      <c r="E119" s="2" t="inlineStr">
        <is>
          <t>m²</t>
        </is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2</v>
      </c>
      <c r="M119" s="2" t="n">
        <v>2</v>
      </c>
      <c r="N119" s="2" t="n">
        <v>0</v>
      </c>
      <c r="O119" s="2" t="n">
        <v>0</v>
      </c>
      <c r="P119" s="2" t="n">
        <v>0</v>
      </c>
      <c r="Q119" s="2" t="n">
        <v>4</v>
      </c>
      <c r="R119" s="2" t="n">
        <v>74</v>
      </c>
      <c r="S119" s="2" t="n"/>
      <c r="T119" s="2">
        <f>IF(OR(S119="",R119=0),"",ROUND(S119*R119,2))</f>
        <v/>
      </c>
      <c r="U119" s="2" t="inlineStr"/>
    </row>
    <row r="120">
      <c r="A120" s="2" t="inlineStr">
        <is>
          <t>E</t>
        </is>
      </c>
      <c r="B120" s="2" t="inlineStr">
        <is>
          <t>NON-STRUCTURAL METALWORK</t>
        </is>
      </c>
      <c r="C120" s="2" t="inlineStr">
        <is>
          <t>N</t>
        </is>
      </c>
      <c r="D120" s="2" t="inlineStr">
        <is>
          <t>To Roof band</t>
        </is>
      </c>
      <c r="E120" s="2" t="inlineStr">
        <is>
          <t>m</t>
        </is>
      </c>
      <c r="F120" s="2" t="n">
        <v>116</v>
      </c>
      <c r="G120" s="2" t="n">
        <v>0</v>
      </c>
      <c r="H120" s="2" t="n">
        <v>158</v>
      </c>
      <c r="I120" s="2" t="n">
        <v>0</v>
      </c>
      <c r="J120" s="2" t="n">
        <v>172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446</v>
      </c>
      <c r="R120" s="2" t="n">
        <v>6512</v>
      </c>
      <c r="S120" s="2" t="n"/>
      <c r="T120" s="2">
        <f>IF(OR(S120="",R120=0),"",ROUND(S120*R120,2))</f>
        <v/>
      </c>
      <c r="U120" s="2" t="inlineStr"/>
    </row>
    <row r="121">
      <c r="A121" s="2" t="inlineStr">
        <is>
          <t>E</t>
        </is>
      </c>
      <c r="B121" s="2" t="inlineStr">
        <is>
          <t>NON-STRUCTURAL METALWORK</t>
        </is>
      </c>
      <c r="C121" s="2" t="inlineStr">
        <is>
          <t>P</t>
        </is>
      </c>
      <c r="D121" s="2" t="inlineStr">
        <is>
          <t>To Carport roof</t>
        </is>
      </c>
      <c r="E121" s="2" t="inlineStr">
        <is>
          <t>m</t>
        </is>
      </c>
      <c r="F121" s="2" t="n">
        <v>46</v>
      </c>
      <c r="G121" s="2" t="n">
        <v>46</v>
      </c>
      <c r="H121" s="2" t="n">
        <v>70</v>
      </c>
      <c r="I121" s="2" t="n">
        <v>70</v>
      </c>
      <c r="J121" s="2" t="n">
        <v>92</v>
      </c>
      <c r="K121" s="2" t="n">
        <v>92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416</v>
      </c>
      <c r="R121" s="2" t="n">
        <v>5904</v>
      </c>
      <c r="S121" s="2" t="n"/>
      <c r="T121" s="2">
        <f>IF(OR(S121="",R121=0),"",ROUND(S121*R121,2))</f>
        <v/>
      </c>
      <c r="U121" s="2" t="inlineStr"/>
    </row>
    <row r="122">
      <c r="A122" s="2" t="inlineStr">
        <is>
          <t>E</t>
        </is>
      </c>
      <c r="B122" s="2" t="inlineStr">
        <is>
          <t>NON-STRUCTURAL METALWORK</t>
        </is>
      </c>
      <c r="C122" s="2" t="inlineStr">
        <is>
          <t>Q</t>
        </is>
      </c>
      <c r="D122" s="2" t="inlineStr">
        <is>
          <t>To Garage roof</t>
        </is>
      </c>
      <c r="E122" s="2" t="inlineStr">
        <is>
          <t>m</t>
        </is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23</v>
      </c>
      <c r="M122" s="2" t="n">
        <v>23</v>
      </c>
      <c r="N122" s="2" t="n">
        <v>0</v>
      </c>
      <c r="O122" s="2" t="n">
        <v>0</v>
      </c>
      <c r="P122" s="2" t="n">
        <v>0</v>
      </c>
      <c r="Q122" s="2" t="n">
        <v>46</v>
      </c>
      <c r="R122" s="2" t="n">
        <v>851</v>
      </c>
      <c r="S122" s="2" t="n"/>
      <c r="T122" s="2">
        <f>IF(OR(S122="",R122=0),"",ROUND(S122*R122,2))</f>
        <v/>
      </c>
      <c r="U122" s="2" t="inlineStr"/>
    </row>
    <row r="123">
      <c r="A123" s="2" t="inlineStr">
        <is>
          <t>E</t>
        </is>
      </c>
      <c r="B123" s="2" t="inlineStr">
        <is>
          <t>NON-STRUCTURAL METALWORK</t>
        </is>
      </c>
      <c r="C123" s="2" t="inlineStr">
        <is>
          <t>R</t>
        </is>
      </c>
      <c r="D123" s="2" t="inlineStr">
        <is>
          <t>To Garbage room roof</t>
        </is>
      </c>
      <c r="E123" s="2" t="inlineStr">
        <is>
          <t>m</t>
        </is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7</v>
      </c>
      <c r="M123" s="2" t="n">
        <v>7</v>
      </c>
      <c r="N123" s="2" t="n">
        <v>0</v>
      </c>
      <c r="O123" s="2" t="n">
        <v>0</v>
      </c>
      <c r="P123" s="2" t="n">
        <v>0</v>
      </c>
      <c r="Q123" s="2" t="n">
        <v>14</v>
      </c>
      <c r="R123" s="2" t="n">
        <v>259</v>
      </c>
      <c r="S123" s="2" t="n"/>
      <c r="T123" s="2">
        <f>IF(OR(S123="",R123=0),"",ROUND(S123*R123,2))</f>
        <v/>
      </c>
      <c r="U123" s="2" t="inlineStr"/>
    </row>
    <row r="124">
      <c r="A124" s="2" t="inlineStr">
        <is>
          <t>E</t>
        </is>
      </c>
      <c r="B124" s="2" t="inlineStr">
        <is>
          <t>NON-STRUCTURAL METALWORK</t>
        </is>
      </c>
      <c r="C124" s="2" t="inlineStr">
        <is>
          <t>S</t>
        </is>
      </c>
      <c r="D124" s="2" t="inlineStr">
        <is>
          <t>Powder coated aluminum flange RAL 7013 - as per detail 01 - 5200</t>
        </is>
      </c>
      <c r="E124" s="2" t="inlineStr">
        <is>
          <t>m</t>
        </is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143</v>
      </c>
      <c r="O124" s="2" t="n">
        <v>0</v>
      </c>
      <c r="P124" s="2" t="n">
        <v>0</v>
      </c>
      <c r="Q124" s="2" t="n">
        <v>143</v>
      </c>
      <c r="R124" s="2" t="n">
        <v>143</v>
      </c>
      <c r="S124" s="2" t="n"/>
      <c r="T124" s="2">
        <f>IF(OR(S124="",R124=0),"",ROUND(S124*R124,2))</f>
        <v/>
      </c>
      <c r="U124" s="2" t="inlineStr"/>
    </row>
    <row r="125">
      <c r="A125" s="2" t="inlineStr">
        <is>
          <t>F</t>
        </is>
      </c>
      <c r="B125" s="2" t="inlineStr">
        <is>
          <t>BATHROOM JOINERIES</t>
        </is>
      </c>
      <c r="C125" s="2" t="inlineStr">
        <is>
          <t>A</t>
        </is>
      </c>
      <c r="D125" s="2" t="inlineStr">
        <is>
          <t>530mm W x 1570mm L x 280mm H; to FF Master bathroom</t>
        </is>
      </c>
      <c r="E125" s="2" t="inlineStr">
        <is>
          <t>No</t>
        </is>
      </c>
      <c r="F125" s="2" t="n">
        <v>2</v>
      </c>
      <c r="G125" s="2" t="n">
        <v>2</v>
      </c>
      <c r="H125" s="2" t="n">
        <v>2</v>
      </c>
      <c r="I125" s="2" t="n">
        <v>2</v>
      </c>
      <c r="J125" s="2" t="n">
        <v>2</v>
      </c>
      <c r="K125" s="2" t="n">
        <v>2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12</v>
      </c>
      <c r="R125" s="2" t="n">
        <v>184</v>
      </c>
      <c r="S125" s="2" t="n"/>
      <c r="T125" s="2">
        <f>IF(OR(S125="",R125=0),"",ROUND(S125*R125,2))</f>
        <v/>
      </c>
      <c r="U125" s="2" t="inlineStr"/>
    </row>
    <row r="126">
      <c r="A126" s="2" t="inlineStr">
        <is>
          <t>F</t>
        </is>
      </c>
      <c r="B126" s="2" t="inlineStr">
        <is>
          <t>BATHROOM JOINERIES</t>
        </is>
      </c>
      <c r="C126" s="2" t="inlineStr">
        <is>
          <t>A</t>
        </is>
      </c>
      <c r="D126" s="2" t="inlineStr">
        <is>
          <t>500mm W x 1570mm L x 50mm H; to FF Master bathroom</t>
        </is>
      </c>
      <c r="E126" s="2" t="inlineStr">
        <is>
          <t>No</t>
        </is>
      </c>
      <c r="F126" s="2" t="n">
        <v>2</v>
      </c>
      <c r="G126" s="2" t="n">
        <v>2</v>
      </c>
      <c r="H126" s="2" t="n">
        <v>2</v>
      </c>
      <c r="I126" s="2" t="n">
        <v>2</v>
      </c>
      <c r="J126" s="2" t="n">
        <v>2</v>
      </c>
      <c r="K126" s="2" t="n">
        <v>2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12</v>
      </c>
      <c r="R126" s="2" t="n">
        <v>184</v>
      </c>
      <c r="S126" s="2" t="n"/>
      <c r="T126" s="2">
        <f>IF(OR(S126="",R126=0),"",ROUND(S126*R126,2))</f>
        <v/>
      </c>
      <c r="U126" s="2" t="inlineStr"/>
    </row>
    <row r="127">
      <c r="A127" s="2" t="inlineStr">
        <is>
          <t>F</t>
        </is>
      </c>
      <c r="B127" s="2" t="inlineStr">
        <is>
          <t>BATHROOM JOINERIES</t>
        </is>
      </c>
      <c r="C127" s="2" t="inlineStr">
        <is>
          <t>A</t>
        </is>
      </c>
      <c r="D127" s="2" t="inlineStr">
        <is>
          <t>200mm W x 950mm L x  20mm H; to FF master bathroom</t>
        </is>
      </c>
      <c r="E127" s="2" t="inlineStr">
        <is>
          <t>No</t>
        </is>
      </c>
      <c r="F127" s="2" t="n">
        <v>2</v>
      </c>
      <c r="G127" s="2" t="n">
        <v>2</v>
      </c>
      <c r="H127" s="2" t="n">
        <v>2</v>
      </c>
      <c r="I127" s="2" t="n">
        <v>2</v>
      </c>
      <c r="J127" s="2" t="n">
        <v>2</v>
      </c>
      <c r="K127" s="2" t="n">
        <v>2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12</v>
      </c>
      <c r="R127" s="2" t="n">
        <v>184</v>
      </c>
      <c r="S127" s="2" t="n"/>
      <c r="T127" s="2">
        <f>IF(OR(S127="",R127=0),"",ROUND(S127*R127,2))</f>
        <v/>
      </c>
      <c r="U127" s="2" t="inlineStr"/>
    </row>
    <row r="128">
      <c r="A128" s="2" t="inlineStr">
        <is>
          <t>F</t>
        </is>
      </c>
      <c r="B128" s="2" t="inlineStr">
        <is>
          <t>BATHROOM JOINERIES</t>
        </is>
      </c>
      <c r="C128" s="2" t="inlineStr">
        <is>
          <t>A</t>
        </is>
      </c>
      <c r="D128" s="2" t="inlineStr">
        <is>
          <t>160mmW x 200mmL x 1250mmH; to GF guest bathroom</t>
        </is>
      </c>
      <c r="E128" s="2" t="inlineStr">
        <is>
          <t>No</t>
        </is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/>
      <c r="T128" s="2">
        <f>IF(OR(S128="",R128=0),"",ROUND(S128*R128,2))</f>
        <v/>
      </c>
      <c r="U128" s="2" t="inlineStr"/>
    </row>
    <row r="129">
      <c r="A129" s="2" t="inlineStr">
        <is>
          <t>F</t>
        </is>
      </c>
      <c r="B129" s="2" t="inlineStr">
        <is>
          <t>BATHROOM JOINERIES</t>
        </is>
      </c>
      <c r="C129" s="2" t="inlineStr">
        <is>
          <t>B</t>
        </is>
      </c>
      <c r="D129" s="2" t="inlineStr">
        <is>
          <t>530mmW x 1200mmL x 280mmH; to FF Master bathroom</t>
        </is>
      </c>
      <c r="E129" s="2" t="inlineStr">
        <is>
          <t>No</t>
        </is>
      </c>
      <c r="F129" s="2" t="n">
        <v>2</v>
      </c>
      <c r="G129" s="2" t="n">
        <v>2</v>
      </c>
      <c r="H129" s="2" t="n">
        <v>4</v>
      </c>
      <c r="I129" s="2" t="n">
        <v>4</v>
      </c>
      <c r="J129" s="2" t="n">
        <v>6</v>
      </c>
      <c r="K129" s="2" t="n">
        <v>6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24</v>
      </c>
      <c r="R129" s="2" t="n">
        <v>326</v>
      </c>
      <c r="S129" s="2" t="n"/>
      <c r="T129" s="2">
        <f>IF(OR(S129="",R129=0),"",ROUND(S129*R129,2))</f>
        <v/>
      </c>
      <c r="U129" s="2" t="inlineStr"/>
    </row>
    <row r="130">
      <c r="A130" s="2" t="inlineStr">
        <is>
          <t>F</t>
        </is>
      </c>
      <c r="B130" s="2" t="inlineStr">
        <is>
          <t>BATHROOM JOINERIES</t>
        </is>
      </c>
      <c r="C130" s="2" t="inlineStr">
        <is>
          <t>B</t>
        </is>
      </c>
      <c r="D130" s="2" t="inlineStr">
        <is>
          <t>500mmW x 1200mmL x 50mmH; to FF Master bathroom</t>
        </is>
      </c>
      <c r="E130" s="2" t="inlineStr">
        <is>
          <t>No</t>
        </is>
      </c>
      <c r="F130" s="2" t="n">
        <v>2</v>
      </c>
      <c r="G130" s="2" t="n">
        <v>2</v>
      </c>
      <c r="H130" s="2" t="n">
        <v>4</v>
      </c>
      <c r="I130" s="2" t="n">
        <v>4</v>
      </c>
      <c r="J130" s="2" t="n">
        <v>6</v>
      </c>
      <c r="K130" s="2" t="n">
        <v>6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24</v>
      </c>
      <c r="R130" s="2" t="n">
        <v>326</v>
      </c>
      <c r="S130" s="2" t="n"/>
      <c r="T130" s="2">
        <f>IF(OR(S130="",R130=0),"",ROUND(S130*R130,2))</f>
        <v/>
      </c>
      <c r="U130" s="2" t="inlineStr"/>
    </row>
    <row r="131">
      <c r="A131" s="2" t="inlineStr">
        <is>
          <t>F</t>
        </is>
      </c>
      <c r="B131" s="2" t="inlineStr">
        <is>
          <t>BATHROOM JOINERIES</t>
        </is>
      </c>
      <c r="C131" s="2" t="inlineStr">
        <is>
          <t>B</t>
        </is>
      </c>
      <c r="D131" s="2" t="inlineStr">
        <is>
          <t>200mm W x 700mm L x  20mm H; to FF bathroom 1</t>
        </is>
      </c>
      <c r="E131" s="2" t="inlineStr">
        <is>
          <t>No</t>
        </is>
      </c>
      <c r="F131" s="2" t="n">
        <v>2</v>
      </c>
      <c r="G131" s="2" t="n">
        <v>2</v>
      </c>
      <c r="H131" s="2" t="n">
        <v>2</v>
      </c>
      <c r="I131" s="2" t="n">
        <v>2</v>
      </c>
      <c r="J131" s="2" t="n">
        <v>2</v>
      </c>
      <c r="K131" s="2" t="n">
        <v>2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12</v>
      </c>
      <c r="R131" s="2" t="n">
        <v>184</v>
      </c>
      <c r="S131" s="2" t="n"/>
      <c r="T131" s="2">
        <f>IF(OR(S131="",R131=0),"",ROUND(S131*R131,2))</f>
        <v/>
      </c>
      <c r="U131" s="2" t="inlineStr"/>
    </row>
    <row r="132">
      <c r="A132" s="2" t="inlineStr">
        <is>
          <t>F</t>
        </is>
      </c>
      <c r="B132" s="2" t="inlineStr">
        <is>
          <t>BATHROOM JOINERIES</t>
        </is>
      </c>
      <c r="C132" s="2" t="inlineStr">
        <is>
          <t>B</t>
        </is>
      </c>
      <c r="D132" s="2" t="inlineStr">
        <is>
          <t>200mmW x 200mmL x 1260mmH; to GF powder room</t>
        </is>
      </c>
      <c r="E132" s="2" t="inlineStr">
        <is>
          <t>No</t>
        </is>
      </c>
      <c r="F132" s="2" t="n">
        <v>2</v>
      </c>
      <c r="G132" s="2" t="n">
        <v>2</v>
      </c>
      <c r="H132" s="2" t="n">
        <v>4</v>
      </c>
      <c r="I132" s="2" t="n">
        <v>4</v>
      </c>
      <c r="J132" s="2" t="n">
        <v>6</v>
      </c>
      <c r="K132" s="2" t="n">
        <v>6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24</v>
      </c>
      <c r="R132" s="2" t="n">
        <v>326</v>
      </c>
      <c r="S132" s="2" t="n"/>
      <c r="T132" s="2">
        <f>IF(OR(S132="",R132=0),"",ROUND(S132*R132,2))</f>
        <v/>
      </c>
      <c r="U132" s="2" t="inlineStr"/>
    </row>
    <row r="133">
      <c r="A133" s="2" t="inlineStr">
        <is>
          <t>F</t>
        </is>
      </c>
      <c r="B133" s="2" t="inlineStr">
        <is>
          <t>BATHROOM JOINERIES</t>
        </is>
      </c>
      <c r="C133" s="2" t="inlineStr">
        <is>
          <t>C</t>
        </is>
      </c>
      <c r="D133" s="2" t="inlineStr">
        <is>
          <t>530mm W x 1050mm L x 280mm H; to FF bathroom 1</t>
        </is>
      </c>
      <c r="E133" s="2" t="inlineStr">
        <is>
          <t>No</t>
        </is>
      </c>
      <c r="F133" s="2" t="n">
        <v>2</v>
      </c>
      <c r="G133" s="2" t="n">
        <v>2</v>
      </c>
      <c r="H133" s="2" t="n">
        <v>2</v>
      </c>
      <c r="I133" s="2" t="n">
        <v>2</v>
      </c>
      <c r="J133" s="2" t="n">
        <v>2</v>
      </c>
      <c r="K133" s="2" t="n">
        <v>2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12</v>
      </c>
      <c r="R133" s="2" t="n">
        <v>184</v>
      </c>
      <c r="S133" s="2" t="n"/>
      <c r="T133" s="2">
        <f>IF(OR(S133="",R133=0),"",ROUND(S133*R133,2))</f>
        <v/>
      </c>
      <c r="U133" s="2" t="inlineStr"/>
    </row>
    <row r="134">
      <c r="A134" s="2" t="inlineStr">
        <is>
          <t>F</t>
        </is>
      </c>
      <c r="B134" s="2" t="inlineStr">
        <is>
          <t>BATHROOM JOINERIES</t>
        </is>
      </c>
      <c r="C134" s="2" t="inlineStr">
        <is>
          <t>C</t>
        </is>
      </c>
      <c r="D134" s="2" t="inlineStr">
        <is>
          <t>500mm W x 1050mm L x 50mm H; to FF bathroom 1</t>
        </is>
      </c>
      <c r="E134" s="2" t="inlineStr">
        <is>
          <t>No</t>
        </is>
      </c>
      <c r="F134" s="2" t="n">
        <v>2</v>
      </c>
      <c r="G134" s="2" t="n">
        <v>2</v>
      </c>
      <c r="H134" s="2" t="n">
        <v>2</v>
      </c>
      <c r="I134" s="2" t="n">
        <v>2</v>
      </c>
      <c r="J134" s="2" t="n">
        <v>2</v>
      </c>
      <c r="K134" s="2" t="n">
        <v>2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12</v>
      </c>
      <c r="R134" s="2" t="n">
        <v>184</v>
      </c>
      <c r="S134" s="2" t="n"/>
      <c r="T134" s="2">
        <f>IF(OR(S134="",R134=0),"",ROUND(S134*R134,2))</f>
        <v/>
      </c>
      <c r="U134" s="2" t="inlineStr"/>
    </row>
    <row r="135">
      <c r="A135" s="2" t="inlineStr">
        <is>
          <t>F</t>
        </is>
      </c>
      <c r="B135" s="2" t="inlineStr">
        <is>
          <t>BATHROOM JOINERIES</t>
        </is>
      </c>
      <c r="C135" s="2" t="inlineStr">
        <is>
          <t>C</t>
        </is>
      </c>
      <c r="D135" s="2" t="inlineStr">
        <is>
          <t>200mm W x 700mm L x  20mm H; to FF bathroom 2</t>
        </is>
      </c>
      <c r="E135" s="2" t="inlineStr">
        <is>
          <t>No</t>
        </is>
      </c>
      <c r="F135" s="2" t="n">
        <v>2</v>
      </c>
      <c r="G135" s="2" t="n">
        <v>2</v>
      </c>
      <c r="H135" s="2" t="n">
        <v>2</v>
      </c>
      <c r="I135" s="2" t="n">
        <v>2</v>
      </c>
      <c r="J135" s="2" t="n">
        <v>2</v>
      </c>
      <c r="K135" s="2" t="n">
        <v>2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12</v>
      </c>
      <c r="R135" s="2" t="n">
        <v>184</v>
      </c>
      <c r="S135" s="2" t="n"/>
      <c r="T135" s="2">
        <f>IF(OR(S135="",R135=0),"",ROUND(S135*R135,2))</f>
        <v/>
      </c>
      <c r="U135" s="2" t="inlineStr"/>
    </row>
    <row r="136">
      <c r="A136" s="2" t="inlineStr">
        <is>
          <t>F</t>
        </is>
      </c>
      <c r="B136" s="2" t="inlineStr">
        <is>
          <t>BATHROOM JOINERIES</t>
        </is>
      </c>
      <c r="C136" s="2" t="inlineStr">
        <is>
          <t>C</t>
        </is>
      </c>
      <c r="D136" s="2" t="inlineStr">
        <is>
          <t>200mmW x 200mmL x 1260mmH; to FF master bathroom</t>
        </is>
      </c>
      <c r="E136" s="2" t="inlineStr">
        <is>
          <t>No</t>
        </is>
      </c>
      <c r="F136" s="2" t="n">
        <v>4</v>
      </c>
      <c r="G136" s="2" t="n">
        <v>4</v>
      </c>
      <c r="H136" s="2" t="n">
        <v>8</v>
      </c>
      <c r="I136" s="2" t="n">
        <v>8</v>
      </c>
      <c r="J136" s="2" t="n">
        <v>12</v>
      </c>
      <c r="K136" s="2" t="n">
        <v>12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48</v>
      </c>
      <c r="R136" s="2" t="n">
        <v>652</v>
      </c>
      <c r="S136" s="2" t="n"/>
      <c r="T136" s="2">
        <f>IF(OR(S136="",R136=0),"",ROUND(S136*R136,2))</f>
        <v/>
      </c>
      <c r="U136" s="2" t="inlineStr"/>
    </row>
    <row r="137">
      <c r="A137" s="2" t="inlineStr">
        <is>
          <t>F</t>
        </is>
      </c>
      <c r="B137" s="2" t="inlineStr">
        <is>
          <t>BATHROOM JOINERIES</t>
        </is>
      </c>
      <c r="C137" s="2" t="inlineStr">
        <is>
          <t>D</t>
        </is>
      </c>
      <c r="D137" s="2" t="inlineStr">
        <is>
          <t>530mm W x 900mm L x 280mm H; to GF guest bathroom</t>
        </is>
      </c>
      <c r="E137" s="2" t="inlineStr">
        <is>
          <t>No</t>
        </is>
      </c>
      <c r="F137" s="2" t="n">
        <v>2</v>
      </c>
      <c r="G137" s="2" t="n">
        <v>2</v>
      </c>
      <c r="H137" s="2" t="n">
        <v>2</v>
      </c>
      <c r="I137" s="2" t="n">
        <v>2</v>
      </c>
      <c r="J137" s="2" t="n">
        <v>2</v>
      </c>
      <c r="K137" s="2" t="n">
        <v>2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12</v>
      </c>
      <c r="R137" s="2" t="n">
        <v>184</v>
      </c>
      <c r="S137" s="2" t="n"/>
      <c r="T137" s="2">
        <f>IF(OR(S137="",R137=0),"",ROUND(S137*R137,2))</f>
        <v/>
      </c>
      <c r="U137" s="2" t="inlineStr"/>
    </row>
    <row r="138">
      <c r="A138" s="2" t="inlineStr">
        <is>
          <t>F</t>
        </is>
      </c>
      <c r="B138" s="2" t="inlineStr">
        <is>
          <t>BATHROOM JOINERIES</t>
        </is>
      </c>
      <c r="C138" s="2" t="inlineStr">
        <is>
          <t>D</t>
        </is>
      </c>
      <c r="D138" s="2" t="inlineStr">
        <is>
          <t>500mm W x 900mm L x 50mm H; to GF guest bathroom</t>
        </is>
      </c>
      <c r="E138" s="2" t="inlineStr">
        <is>
          <t>No</t>
        </is>
      </c>
      <c r="F138" s="2" t="n">
        <v>2</v>
      </c>
      <c r="G138" s="2" t="n">
        <v>2</v>
      </c>
      <c r="H138" s="2" t="n">
        <v>2</v>
      </c>
      <c r="I138" s="2" t="n">
        <v>2</v>
      </c>
      <c r="J138" s="2" t="n">
        <v>2</v>
      </c>
      <c r="K138" s="2" t="n">
        <v>2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12</v>
      </c>
      <c r="R138" s="2" t="n">
        <v>184</v>
      </c>
      <c r="S138" s="2" t="n"/>
      <c r="T138" s="2">
        <f>IF(OR(S138="",R138=0),"",ROUND(S138*R138,2))</f>
        <v/>
      </c>
      <c r="U138" s="2" t="inlineStr"/>
    </row>
    <row r="139">
      <c r="A139" s="2" t="inlineStr">
        <is>
          <t>F</t>
        </is>
      </c>
      <c r="B139" s="2" t="inlineStr">
        <is>
          <t>BATHROOM JOINERIES</t>
        </is>
      </c>
      <c r="C139" s="2" t="inlineStr">
        <is>
          <t>D</t>
        </is>
      </c>
      <c r="D139" s="2" t="inlineStr">
        <is>
          <t>200mmW x 900mmL x 20mmH; to FF master bathroom</t>
        </is>
      </c>
      <c r="E139" s="2" t="inlineStr">
        <is>
          <t>No</t>
        </is>
      </c>
      <c r="F139" s="2" t="n">
        <v>2</v>
      </c>
      <c r="G139" s="2" t="n">
        <v>2</v>
      </c>
      <c r="H139" s="2" t="n">
        <v>4</v>
      </c>
      <c r="I139" s="2" t="n">
        <v>4</v>
      </c>
      <c r="J139" s="2" t="n">
        <v>6</v>
      </c>
      <c r="K139" s="2" t="n">
        <v>6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24</v>
      </c>
      <c r="R139" s="2" t="n">
        <v>326</v>
      </c>
      <c r="S139" s="2" t="n"/>
      <c r="T139" s="2">
        <f>IF(OR(S139="",R139=0),"",ROUND(S139*R139,2))</f>
        <v/>
      </c>
      <c r="U139" s="2" t="inlineStr"/>
    </row>
    <row r="140">
      <c r="A140" s="2" t="inlineStr">
        <is>
          <t>F</t>
        </is>
      </c>
      <c r="B140" s="2" t="inlineStr">
        <is>
          <t>BATHROOM JOINERIES</t>
        </is>
      </c>
      <c r="C140" s="2" t="inlineStr">
        <is>
          <t>D</t>
        </is>
      </c>
      <c r="D140" s="2" t="inlineStr">
        <is>
          <t>200mmW x 200mmL x 1260mmH; to FF bathroom 1</t>
        </is>
      </c>
      <c r="E140" s="2" t="inlineStr">
        <is>
          <t>No</t>
        </is>
      </c>
      <c r="F140" s="2" t="n">
        <v>2</v>
      </c>
      <c r="G140" s="2" t="n">
        <v>2</v>
      </c>
      <c r="H140" s="2" t="n">
        <v>4</v>
      </c>
      <c r="I140" s="2" t="n">
        <v>4</v>
      </c>
      <c r="J140" s="2" t="n">
        <v>6</v>
      </c>
      <c r="K140" s="2" t="n">
        <v>6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24</v>
      </c>
      <c r="R140" s="2" t="n">
        <v>326</v>
      </c>
      <c r="S140" s="2" t="n"/>
      <c r="T140" s="2">
        <f>IF(OR(S140="",R140=0),"",ROUND(S140*R140,2))</f>
        <v/>
      </c>
      <c r="U140" s="2" t="inlineStr"/>
    </row>
    <row r="141">
      <c r="A141" s="2" t="inlineStr">
        <is>
          <t>F</t>
        </is>
      </c>
      <c r="B141" s="2" t="inlineStr">
        <is>
          <t>BATHROOM JOINERIES</t>
        </is>
      </c>
      <c r="C141" s="2" t="inlineStr">
        <is>
          <t>E</t>
        </is>
      </c>
      <c r="D141" s="2" t="inlineStr">
        <is>
          <t>530mm W x 900mm L x 280mm H; to FF bathroom 2</t>
        </is>
      </c>
      <c r="E141" s="2" t="inlineStr">
        <is>
          <t>No</t>
        </is>
      </c>
      <c r="F141" s="2" t="n">
        <v>2</v>
      </c>
      <c r="G141" s="2" t="n">
        <v>2</v>
      </c>
      <c r="H141" s="2" t="n">
        <v>2</v>
      </c>
      <c r="I141" s="2" t="n">
        <v>2</v>
      </c>
      <c r="J141" s="2" t="n">
        <v>2</v>
      </c>
      <c r="K141" s="2" t="n">
        <v>2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12</v>
      </c>
      <c r="R141" s="2" t="n">
        <v>184</v>
      </c>
      <c r="S141" s="2" t="n"/>
      <c r="T141" s="2">
        <f>IF(OR(S141="",R141=0),"",ROUND(S141*R141,2))</f>
        <v/>
      </c>
      <c r="U141" s="2" t="inlineStr"/>
    </row>
    <row r="142">
      <c r="A142" s="2" t="inlineStr">
        <is>
          <t>F</t>
        </is>
      </c>
      <c r="B142" s="2" t="inlineStr">
        <is>
          <t>BATHROOM JOINERIES</t>
        </is>
      </c>
      <c r="C142" s="2" t="inlineStr">
        <is>
          <t>E</t>
        </is>
      </c>
      <c r="D142" s="2" t="inlineStr">
        <is>
          <t>500mm W x 900mm L x 50mm H; to FF bathroom 2</t>
        </is>
      </c>
      <c r="E142" s="2" t="inlineStr">
        <is>
          <t>No</t>
        </is>
      </c>
      <c r="F142" s="2" t="n">
        <v>2</v>
      </c>
      <c r="G142" s="2" t="n">
        <v>2</v>
      </c>
      <c r="H142" s="2" t="n">
        <v>2</v>
      </c>
      <c r="I142" s="2" t="n">
        <v>2</v>
      </c>
      <c r="J142" s="2" t="n">
        <v>2</v>
      </c>
      <c r="K142" s="2" t="n">
        <v>2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12</v>
      </c>
      <c r="R142" s="2" t="n">
        <v>184</v>
      </c>
      <c r="S142" s="2" t="n"/>
      <c r="T142" s="2">
        <f>IF(OR(S142="",R142=0),"",ROUND(S142*R142,2))</f>
        <v/>
      </c>
      <c r="U142" s="2" t="inlineStr"/>
    </row>
    <row r="143">
      <c r="A143" s="2" t="inlineStr">
        <is>
          <t>F</t>
        </is>
      </c>
      <c r="B143" s="2" t="inlineStr">
        <is>
          <t>BATHROOM JOINERIES</t>
        </is>
      </c>
      <c r="C143" s="2" t="inlineStr">
        <is>
          <t>E</t>
        </is>
      </c>
      <c r="D143" s="2" t="inlineStr">
        <is>
          <t>200mmW x 700mmL x 20mmH; to GF powder room</t>
        </is>
      </c>
      <c r="E143" s="2" t="inlineStr">
        <is>
          <t>No</t>
        </is>
      </c>
      <c r="F143" s="2" t="n">
        <v>2</v>
      </c>
      <c r="G143" s="2" t="n">
        <v>2</v>
      </c>
      <c r="H143" s="2" t="n">
        <v>4</v>
      </c>
      <c r="I143" s="2" t="n">
        <v>4</v>
      </c>
      <c r="J143" s="2" t="n">
        <v>6</v>
      </c>
      <c r="K143" s="2" t="n">
        <v>6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24</v>
      </c>
      <c r="R143" s="2" t="n">
        <v>326</v>
      </c>
      <c r="S143" s="2" t="n"/>
      <c r="T143" s="2">
        <f>IF(OR(S143="",R143=0),"",ROUND(S143*R143,2))</f>
        <v/>
      </c>
      <c r="U143" s="2" t="inlineStr"/>
    </row>
    <row r="144">
      <c r="A144" s="2" t="inlineStr">
        <is>
          <t>F</t>
        </is>
      </c>
      <c r="B144" s="2" t="inlineStr">
        <is>
          <t>BATHROOM JOINERIES</t>
        </is>
      </c>
      <c r="C144" s="2" t="inlineStr">
        <is>
          <t>E</t>
        </is>
      </c>
      <c r="D144" s="2" t="inlineStr">
        <is>
          <t>200mmW x 200mmL x 1260mmH; to GF guest bathroom</t>
        </is>
      </c>
      <c r="E144" s="2" t="inlineStr">
        <is>
          <t>No</t>
        </is>
      </c>
      <c r="F144" s="2" t="n">
        <v>2</v>
      </c>
      <c r="G144" s="2" t="n">
        <v>2</v>
      </c>
      <c r="H144" s="2" t="n">
        <v>2</v>
      </c>
      <c r="I144" s="2" t="n">
        <v>2</v>
      </c>
      <c r="J144" s="2" t="n">
        <v>2</v>
      </c>
      <c r="K144" s="2" t="n">
        <v>2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12</v>
      </c>
      <c r="R144" s="2" t="n">
        <v>184</v>
      </c>
      <c r="S144" s="2" t="n"/>
      <c r="T144" s="2">
        <f>IF(OR(S144="",R144=0),"",ROUND(S144*R144,2))</f>
        <v/>
      </c>
      <c r="U144" s="2" t="inlineStr"/>
    </row>
    <row r="145">
      <c r="A145" s="2" t="inlineStr">
        <is>
          <t>F</t>
        </is>
      </c>
      <c r="B145" s="2" t="inlineStr">
        <is>
          <t>BATHROOM JOINERIES</t>
        </is>
      </c>
      <c r="C145" s="2" t="inlineStr">
        <is>
          <t>F</t>
        </is>
      </c>
      <c r="D145" s="2" t="inlineStr">
        <is>
          <t>530mmW x 900mmL x 280mmH; to FF bathroom 1</t>
        </is>
      </c>
      <c r="E145" s="2" t="inlineStr">
        <is>
          <t>No</t>
        </is>
      </c>
      <c r="F145" s="2" t="n">
        <v>2</v>
      </c>
      <c r="G145" s="2" t="n">
        <v>2</v>
      </c>
      <c r="H145" s="2" t="n">
        <v>4</v>
      </c>
      <c r="I145" s="2" t="n">
        <v>4</v>
      </c>
      <c r="J145" s="2" t="n">
        <v>6</v>
      </c>
      <c r="K145" s="2" t="n">
        <v>6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24</v>
      </c>
      <c r="R145" s="2" t="n">
        <v>326</v>
      </c>
      <c r="S145" s="2" t="n"/>
      <c r="T145" s="2">
        <f>IF(OR(S145="",R145=0),"",ROUND(S145*R145,2))</f>
        <v/>
      </c>
      <c r="U145" s="2" t="inlineStr"/>
    </row>
    <row r="146">
      <c r="A146" s="2" t="inlineStr">
        <is>
          <t>F</t>
        </is>
      </c>
      <c r="B146" s="2" t="inlineStr">
        <is>
          <t>BATHROOM JOINERIES</t>
        </is>
      </c>
      <c r="C146" s="2" t="inlineStr">
        <is>
          <t>F</t>
        </is>
      </c>
      <c r="D146" s="2" t="inlineStr">
        <is>
          <t>500mmW x 900mmL x 50mmH; to FF bathroom 1</t>
        </is>
      </c>
      <c r="E146" s="2" t="inlineStr">
        <is>
          <t>No</t>
        </is>
      </c>
      <c r="F146" s="2" t="n">
        <v>2</v>
      </c>
      <c r="G146" s="2" t="n">
        <v>2</v>
      </c>
      <c r="H146" s="2" t="n">
        <v>4</v>
      </c>
      <c r="I146" s="2" t="n">
        <v>4</v>
      </c>
      <c r="J146" s="2" t="n">
        <v>6</v>
      </c>
      <c r="K146" s="2" t="n">
        <v>6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24</v>
      </c>
      <c r="R146" s="2" t="n">
        <v>326</v>
      </c>
      <c r="S146" s="2" t="n"/>
      <c r="T146" s="2">
        <f>IF(OR(S146="",R146=0),"",ROUND(S146*R146,2))</f>
        <v/>
      </c>
      <c r="U146" s="2" t="inlineStr"/>
    </row>
    <row r="147">
      <c r="A147" s="2" t="inlineStr">
        <is>
          <t>F</t>
        </is>
      </c>
      <c r="B147" s="2" t="inlineStr">
        <is>
          <t>BATHROOM JOINERIES</t>
        </is>
      </c>
      <c r="C147" s="2" t="inlineStr">
        <is>
          <t>F</t>
        </is>
      </c>
      <c r="D147" s="2" t="inlineStr">
        <is>
          <t>200mm W x 700mm L x 20mm H; to GF guest bathroom</t>
        </is>
      </c>
      <c r="E147" s="2" t="inlineStr">
        <is>
          <t>No</t>
        </is>
      </c>
      <c r="F147" s="2" t="n">
        <v>2</v>
      </c>
      <c r="G147" s="2" t="n">
        <v>2</v>
      </c>
      <c r="H147" s="2" t="n">
        <v>2</v>
      </c>
      <c r="I147" s="2" t="n">
        <v>2</v>
      </c>
      <c r="J147" s="2" t="n">
        <v>2</v>
      </c>
      <c r="K147" s="2" t="n">
        <v>2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12</v>
      </c>
      <c r="R147" s="2" t="n">
        <v>184</v>
      </c>
      <c r="S147" s="2" t="n"/>
      <c r="T147" s="2">
        <f>IF(OR(S147="",R147=0),"",ROUND(S147*R147,2))</f>
        <v/>
      </c>
      <c r="U147" s="2" t="inlineStr"/>
    </row>
    <row r="148">
      <c r="A148" s="2" t="inlineStr">
        <is>
          <t>F</t>
        </is>
      </c>
      <c r="B148" s="2" t="inlineStr">
        <is>
          <t>BATHROOM JOINERIES</t>
        </is>
      </c>
      <c r="C148" s="2" t="inlineStr">
        <is>
          <t>F</t>
        </is>
      </c>
      <c r="D148" s="2" t="inlineStr">
        <is>
          <t>200mmW x 200mmL x 1260mmH; to FF master bathroom</t>
        </is>
      </c>
      <c r="E148" s="2" t="inlineStr">
        <is>
          <t>No</t>
        </is>
      </c>
      <c r="F148" s="2" t="n">
        <v>4</v>
      </c>
      <c r="G148" s="2" t="n">
        <v>4</v>
      </c>
      <c r="H148" s="2" t="n">
        <v>4</v>
      </c>
      <c r="I148" s="2" t="n">
        <v>4</v>
      </c>
      <c r="J148" s="2" t="n">
        <v>4</v>
      </c>
      <c r="K148" s="2" t="n">
        <v>4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24</v>
      </c>
      <c r="R148" s="2" t="n">
        <v>368</v>
      </c>
      <c r="S148" s="2" t="n"/>
      <c r="T148" s="2">
        <f>IF(OR(S148="",R148=0),"",ROUND(S148*R148,2))</f>
        <v/>
      </c>
      <c r="U148" s="2" t="inlineStr"/>
    </row>
    <row r="149">
      <c r="A149" s="2" t="inlineStr">
        <is>
          <t>F</t>
        </is>
      </c>
      <c r="B149" s="2" t="inlineStr">
        <is>
          <t>BATHROOM JOINERIES</t>
        </is>
      </c>
      <c r="C149" s="2" t="inlineStr">
        <is>
          <t>G</t>
        </is>
      </c>
      <c r="D149" s="2" t="inlineStr">
        <is>
          <t>530mmW x 870mmL x 280mmH; to GF powder room</t>
        </is>
      </c>
      <c r="E149" s="2" t="inlineStr">
        <is>
          <t>No</t>
        </is>
      </c>
      <c r="F149" s="2" t="n">
        <v>2</v>
      </c>
      <c r="G149" s="2" t="n">
        <v>2</v>
      </c>
      <c r="H149" s="2" t="n">
        <v>4</v>
      </c>
      <c r="I149" s="2" t="n">
        <v>4</v>
      </c>
      <c r="J149" s="2" t="n">
        <v>6</v>
      </c>
      <c r="K149" s="2" t="n">
        <v>6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24</v>
      </c>
      <c r="R149" s="2" t="n">
        <v>326</v>
      </c>
      <c r="S149" s="2" t="n"/>
      <c r="T149" s="2">
        <f>IF(OR(S149="",R149=0),"",ROUND(S149*R149,2))</f>
        <v/>
      </c>
      <c r="U149" s="2" t="inlineStr"/>
    </row>
    <row r="150">
      <c r="A150" s="2" t="inlineStr">
        <is>
          <t>F</t>
        </is>
      </c>
      <c r="B150" s="2" t="inlineStr">
        <is>
          <t>BATHROOM JOINERIES</t>
        </is>
      </c>
      <c r="C150" s="2" t="inlineStr">
        <is>
          <t>G</t>
        </is>
      </c>
      <c r="D150" s="2" t="inlineStr">
        <is>
          <t>500mmW x 870mmL x 50mmH; to GF powder room</t>
        </is>
      </c>
      <c r="E150" s="2" t="inlineStr">
        <is>
          <t>No</t>
        </is>
      </c>
      <c r="F150" s="2" t="n">
        <v>2</v>
      </c>
      <c r="G150" s="2" t="n">
        <v>2</v>
      </c>
      <c r="H150" s="2" t="n">
        <v>4</v>
      </c>
      <c r="I150" s="2" t="n">
        <v>4</v>
      </c>
      <c r="J150" s="2" t="n">
        <v>6</v>
      </c>
      <c r="K150" s="2" t="n">
        <v>6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24</v>
      </c>
      <c r="R150" s="2" t="n">
        <v>326</v>
      </c>
      <c r="S150" s="2" t="n"/>
      <c r="T150" s="2">
        <f>IF(OR(S150="",R150=0),"",ROUND(S150*R150,2))</f>
        <v/>
      </c>
      <c r="U150" s="2" t="inlineStr"/>
    </row>
    <row r="151">
      <c r="A151" s="2" t="inlineStr">
        <is>
          <t>F</t>
        </is>
      </c>
      <c r="B151" s="2" t="inlineStr">
        <is>
          <t>BATHROOM JOINERIES</t>
        </is>
      </c>
      <c r="C151" s="2" t="inlineStr">
        <is>
          <t>G</t>
        </is>
      </c>
      <c r="D151" s="2" t="inlineStr">
        <is>
          <t>200mmW x 710mmL x 20mmH; to FF bathroom 1</t>
        </is>
      </c>
      <c r="E151" s="2" t="inlineStr">
        <is>
          <t>No</t>
        </is>
      </c>
      <c r="F151" s="2" t="n">
        <v>2</v>
      </c>
      <c r="G151" s="2" t="n">
        <v>2</v>
      </c>
      <c r="H151" s="2" t="n">
        <v>4</v>
      </c>
      <c r="I151" s="2" t="n">
        <v>4</v>
      </c>
      <c r="J151" s="2" t="n">
        <v>6</v>
      </c>
      <c r="K151" s="2" t="n">
        <v>6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24</v>
      </c>
      <c r="R151" s="2" t="n">
        <v>326</v>
      </c>
      <c r="S151" s="2" t="n"/>
      <c r="T151" s="2">
        <f>IF(OR(S151="",R151=0),"",ROUND(S151*R151,2))</f>
        <v/>
      </c>
      <c r="U151" s="2" t="inlineStr"/>
    </row>
    <row r="152">
      <c r="A152" s="2" t="inlineStr">
        <is>
          <t>F</t>
        </is>
      </c>
      <c r="B152" s="2" t="inlineStr">
        <is>
          <t>BATHROOM JOINERIES</t>
        </is>
      </c>
      <c r="C152" s="2" t="inlineStr">
        <is>
          <t>G</t>
        </is>
      </c>
      <c r="D152" s="2" t="inlineStr">
        <is>
          <t>200mmW x 200mmL x 1260mmH; to FF bathroom 1</t>
        </is>
      </c>
      <c r="E152" s="2" t="inlineStr">
        <is>
          <t>No</t>
        </is>
      </c>
      <c r="F152" s="2" t="n">
        <v>2</v>
      </c>
      <c r="G152" s="2" t="n">
        <v>2</v>
      </c>
      <c r="H152" s="2" t="n">
        <v>2</v>
      </c>
      <c r="I152" s="2" t="n">
        <v>2</v>
      </c>
      <c r="J152" s="2" t="n">
        <v>2</v>
      </c>
      <c r="K152" s="2" t="n">
        <v>2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12</v>
      </c>
      <c r="R152" s="2" t="n">
        <v>184</v>
      </c>
      <c r="S152" s="2" t="n"/>
      <c r="T152" s="2">
        <f>IF(OR(S152="",R152=0),"",ROUND(S152*R152,2))</f>
        <v/>
      </c>
      <c r="U152" s="2" t="inlineStr"/>
    </row>
    <row r="153">
      <c r="A153" s="2" t="inlineStr">
        <is>
          <t>F</t>
        </is>
      </c>
      <c r="B153" s="2" t="inlineStr">
        <is>
          <t>BATHROOM JOINERIES</t>
        </is>
      </c>
      <c r="C153" s="2" t="inlineStr">
        <is>
          <t>H</t>
        </is>
      </c>
      <c r="D153" s="2" t="inlineStr">
        <is>
          <t>530mm W  x  2470mm L x 280mm H; to FF Master Bathroom</t>
        </is>
      </c>
      <c r="E153" s="2" t="inlineStr">
        <is>
          <t>No</t>
        </is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1</v>
      </c>
      <c r="M153" s="2" t="n">
        <v>1</v>
      </c>
      <c r="N153" s="2" t="n">
        <v>0</v>
      </c>
      <c r="O153" s="2" t="n">
        <v>0</v>
      </c>
      <c r="P153" s="2" t="n">
        <v>0</v>
      </c>
      <c r="Q153" s="2" t="n">
        <v>2</v>
      </c>
      <c r="R153" s="2" t="n">
        <v>37</v>
      </c>
      <c r="S153" s="2" t="n"/>
      <c r="T153" s="2">
        <f>IF(OR(S153="",R153=0),"",ROUND(S153*R153,2))</f>
        <v/>
      </c>
      <c r="U153" s="2" t="inlineStr"/>
    </row>
    <row r="154">
      <c r="A154" s="2" t="inlineStr">
        <is>
          <t>F</t>
        </is>
      </c>
      <c r="B154" s="2" t="inlineStr">
        <is>
          <t>BATHROOM JOINERIES</t>
        </is>
      </c>
      <c r="C154" s="2" t="inlineStr">
        <is>
          <t>H</t>
        </is>
      </c>
      <c r="D154" s="2" t="inlineStr">
        <is>
          <t>500mm W  x 2470mm L x 50mm H; to Master Bathroom</t>
        </is>
      </c>
      <c r="E154" s="2" t="inlineStr">
        <is>
          <t>No</t>
        </is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1</v>
      </c>
      <c r="M154" s="2" t="n">
        <v>1</v>
      </c>
      <c r="N154" s="2" t="n">
        <v>0</v>
      </c>
      <c r="O154" s="2" t="n">
        <v>0</v>
      </c>
      <c r="P154" s="2" t="n">
        <v>0</v>
      </c>
      <c r="Q154" s="2" t="n">
        <v>2</v>
      </c>
      <c r="R154" s="2" t="n">
        <v>37</v>
      </c>
      <c r="S154" s="2" t="n"/>
      <c r="T154" s="2">
        <f>IF(OR(S154="",R154=0),"",ROUND(S154*R154,2))</f>
        <v/>
      </c>
      <c r="U154" s="2" t="inlineStr"/>
    </row>
    <row r="155">
      <c r="A155" s="2" t="inlineStr">
        <is>
          <t>F</t>
        </is>
      </c>
      <c r="B155" s="2" t="inlineStr">
        <is>
          <t>BATHROOM JOINERIES</t>
        </is>
      </c>
      <c r="C155" s="2" t="inlineStr">
        <is>
          <t>H</t>
        </is>
      </c>
      <c r="D155" s="2" t="inlineStr">
        <is>
          <t>200mm W  x 700mm L x 20mm H; to Bathroom 2</t>
        </is>
      </c>
      <c r="E155" s="2" t="inlineStr">
        <is>
          <t>No</t>
        </is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1</v>
      </c>
      <c r="M155" s="2" t="n">
        <v>1</v>
      </c>
      <c r="N155" s="2" t="n">
        <v>0</v>
      </c>
      <c r="O155" s="2" t="n">
        <v>0</v>
      </c>
      <c r="P155" s="2" t="n">
        <v>0</v>
      </c>
      <c r="Q155" s="2" t="n">
        <v>2</v>
      </c>
      <c r="R155" s="2" t="n">
        <v>37</v>
      </c>
      <c r="S155" s="2" t="n"/>
      <c r="T155" s="2">
        <f>IF(OR(S155="",R155=0),"",ROUND(S155*R155,2))</f>
        <v/>
      </c>
      <c r="U155" s="2" t="inlineStr"/>
    </row>
    <row r="156">
      <c r="A156" s="2" t="inlineStr">
        <is>
          <t>F</t>
        </is>
      </c>
      <c r="B156" s="2" t="inlineStr">
        <is>
          <t>BATHROOM JOINERIES</t>
        </is>
      </c>
      <c r="C156" s="2" t="inlineStr">
        <is>
          <t>H</t>
        </is>
      </c>
      <c r="D156" s="2" t="inlineStr">
        <is>
          <t>200mmW x 200mmL x 1260mmH; to FF bathroom 2</t>
        </is>
      </c>
      <c r="E156" s="2" t="inlineStr">
        <is>
          <t>No</t>
        </is>
      </c>
      <c r="F156" s="2" t="n">
        <v>2</v>
      </c>
      <c r="G156" s="2" t="n">
        <v>2</v>
      </c>
      <c r="H156" s="2" t="n">
        <v>2</v>
      </c>
      <c r="I156" s="2" t="n">
        <v>2</v>
      </c>
      <c r="J156" s="2" t="n">
        <v>2</v>
      </c>
      <c r="K156" s="2" t="n">
        <v>2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12</v>
      </c>
      <c r="R156" s="2" t="n">
        <v>184</v>
      </c>
      <c r="S156" s="2" t="n"/>
      <c r="T156" s="2">
        <f>IF(OR(S156="",R156=0),"",ROUND(S156*R156,2))</f>
        <v/>
      </c>
      <c r="U156" s="2" t="inlineStr"/>
    </row>
    <row r="157">
      <c r="A157" s="2" t="inlineStr">
        <is>
          <t>F</t>
        </is>
      </c>
      <c r="B157" s="2" t="inlineStr">
        <is>
          <t>BATHROOM JOINERIES</t>
        </is>
      </c>
      <c r="C157" s="2" t="inlineStr">
        <is>
          <t>J</t>
        </is>
      </c>
      <c r="D157" s="2" t="inlineStr">
        <is>
          <t>530mmW x 1250mmL x 280mmH; to Bathroom 1</t>
        </is>
      </c>
      <c r="E157" s="2" t="inlineStr">
        <is>
          <t>No</t>
        </is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1</v>
      </c>
      <c r="M157" s="2" t="n">
        <v>1</v>
      </c>
      <c r="N157" s="2" t="n">
        <v>0</v>
      </c>
      <c r="O157" s="2" t="n">
        <v>0</v>
      </c>
      <c r="P157" s="2" t="n">
        <v>0</v>
      </c>
      <c r="Q157" s="2" t="n">
        <v>2</v>
      </c>
      <c r="R157" s="2" t="n">
        <v>37</v>
      </c>
      <c r="S157" s="2" t="n"/>
      <c r="T157" s="2">
        <f>IF(OR(S157="",R157=0),"",ROUND(S157*R157,2))</f>
        <v/>
      </c>
      <c r="U157" s="2" t="inlineStr"/>
    </row>
    <row r="158">
      <c r="A158" s="2" t="inlineStr">
        <is>
          <t>F</t>
        </is>
      </c>
      <c r="B158" s="2" t="inlineStr">
        <is>
          <t>BATHROOM JOINERIES</t>
        </is>
      </c>
      <c r="C158" s="2" t="inlineStr">
        <is>
          <t>J</t>
        </is>
      </c>
      <c r="D158" s="2" t="inlineStr">
        <is>
          <t>500mmW x 1250mmL x 50mmH; to Bathroom 1</t>
        </is>
      </c>
      <c r="E158" s="2" t="inlineStr">
        <is>
          <t>No</t>
        </is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1</v>
      </c>
      <c r="M158" s="2" t="n">
        <v>1</v>
      </c>
      <c r="N158" s="2" t="n">
        <v>0</v>
      </c>
      <c r="O158" s="2" t="n">
        <v>0</v>
      </c>
      <c r="P158" s="2" t="n">
        <v>0</v>
      </c>
      <c r="Q158" s="2" t="n">
        <v>2</v>
      </c>
      <c r="R158" s="2" t="n">
        <v>37</v>
      </c>
      <c r="S158" s="2" t="n"/>
      <c r="T158" s="2">
        <f>IF(OR(S158="",R158=0),"",ROUND(S158*R158,2))</f>
        <v/>
      </c>
      <c r="U158" s="2" t="inlineStr"/>
    </row>
    <row r="159">
      <c r="A159" s="2" t="inlineStr">
        <is>
          <t>F</t>
        </is>
      </c>
      <c r="B159" s="2" t="inlineStr">
        <is>
          <t>BATHROOM JOINERIES</t>
        </is>
      </c>
      <c r="C159" s="2" t="inlineStr">
        <is>
          <t>J</t>
        </is>
      </c>
      <c r="D159" s="2" t="inlineStr">
        <is>
          <t>200mm W  x 700mm L x 20mm H; to Bathroom 3</t>
        </is>
      </c>
      <c r="E159" s="2" t="inlineStr">
        <is>
          <t>No</t>
        </is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1</v>
      </c>
      <c r="M159" s="2" t="n">
        <v>1</v>
      </c>
      <c r="N159" s="2" t="n">
        <v>0</v>
      </c>
      <c r="O159" s="2" t="n">
        <v>0</v>
      </c>
      <c r="P159" s="2" t="n">
        <v>0</v>
      </c>
      <c r="Q159" s="2" t="n">
        <v>2</v>
      </c>
      <c r="R159" s="2" t="n">
        <v>37</v>
      </c>
      <c r="S159" s="2" t="n"/>
      <c r="T159" s="2">
        <f>IF(OR(S159="",R159=0),"",ROUND(S159*R159,2))</f>
        <v/>
      </c>
      <c r="U159" s="2" t="inlineStr"/>
    </row>
    <row r="160">
      <c r="A160" s="2" t="inlineStr">
        <is>
          <t>F</t>
        </is>
      </c>
      <c r="B160" s="2" t="inlineStr">
        <is>
          <t>BATHROOM JOINERIES</t>
        </is>
      </c>
      <c r="C160" s="2" t="inlineStr">
        <is>
          <t>J</t>
        </is>
      </c>
      <c r="D160" s="2" t="inlineStr">
        <is>
          <t>200mm W  x 200mm L x 1260mm H; to Master Bathroom</t>
        </is>
      </c>
      <c r="E160" s="2" t="inlineStr">
        <is>
          <t>No</t>
        </is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3</v>
      </c>
      <c r="M160" s="2" t="n">
        <v>3</v>
      </c>
      <c r="N160" s="2" t="n">
        <v>0</v>
      </c>
      <c r="O160" s="2" t="n">
        <v>0</v>
      </c>
      <c r="P160" s="2" t="n">
        <v>0</v>
      </c>
      <c r="Q160" s="2" t="n">
        <v>6</v>
      </c>
      <c r="R160" s="2" t="n">
        <v>111</v>
      </c>
      <c r="S160" s="2" t="n"/>
      <c r="T160" s="2">
        <f>IF(OR(S160="",R160=0),"",ROUND(S160*R160,2))</f>
        <v/>
      </c>
      <c r="U160" s="2" t="inlineStr"/>
    </row>
    <row r="161">
      <c r="A161" s="2" t="inlineStr">
        <is>
          <t>F</t>
        </is>
      </c>
      <c r="B161" s="2" t="inlineStr">
        <is>
          <t>BATHROOM JOINERIES</t>
        </is>
      </c>
      <c r="C161" s="2" t="inlineStr">
        <is>
          <t>K</t>
        </is>
      </c>
      <c r="D161" s="2" t="inlineStr">
        <is>
          <t>530mmW x 1170mmL x 280mmH; to Bathroom 2</t>
        </is>
      </c>
      <c r="E161" s="2" t="inlineStr">
        <is>
          <t>No</t>
        </is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1</v>
      </c>
      <c r="M161" s="2" t="n">
        <v>1</v>
      </c>
      <c r="N161" s="2" t="n">
        <v>0</v>
      </c>
      <c r="O161" s="2" t="n">
        <v>0</v>
      </c>
      <c r="P161" s="2" t="n">
        <v>0</v>
      </c>
      <c r="Q161" s="2" t="n">
        <v>2</v>
      </c>
      <c r="R161" s="2" t="n">
        <v>37</v>
      </c>
      <c r="S161" s="2" t="n"/>
      <c r="T161" s="2">
        <f>IF(OR(S161="",R161=0),"",ROUND(S161*R161,2))</f>
        <v/>
      </c>
      <c r="U161" s="2" t="inlineStr"/>
    </row>
    <row r="162">
      <c r="A162" s="2" t="inlineStr">
        <is>
          <t>F</t>
        </is>
      </c>
      <c r="B162" s="2" t="inlineStr">
        <is>
          <t>BATHROOM JOINERIES</t>
        </is>
      </c>
      <c r="C162" s="2" t="inlineStr">
        <is>
          <t>K</t>
        </is>
      </c>
      <c r="D162" s="2" t="inlineStr">
        <is>
          <t>500mmW x 1170mmL x 50mmH; to Bathroom 2</t>
        </is>
      </c>
      <c r="E162" s="2" t="inlineStr">
        <is>
          <t>No</t>
        </is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1</v>
      </c>
      <c r="M162" s="2" t="n">
        <v>1</v>
      </c>
      <c r="N162" s="2" t="n">
        <v>0</v>
      </c>
      <c r="O162" s="2" t="n">
        <v>0</v>
      </c>
      <c r="P162" s="2" t="n">
        <v>0</v>
      </c>
      <c r="Q162" s="2" t="n">
        <v>2</v>
      </c>
      <c r="R162" s="2" t="n">
        <v>37</v>
      </c>
      <c r="S162" s="2" t="n"/>
      <c r="T162" s="2">
        <f>IF(OR(S162="",R162=0),"",ROUND(S162*R162,2))</f>
        <v/>
      </c>
      <c r="U162" s="2" t="inlineStr"/>
    </row>
    <row r="163">
      <c r="A163" s="2" t="inlineStr">
        <is>
          <t>F</t>
        </is>
      </c>
      <c r="B163" s="2" t="inlineStr">
        <is>
          <t>BATHROOM JOINERIES</t>
        </is>
      </c>
      <c r="C163" s="2" t="inlineStr">
        <is>
          <t>K</t>
        </is>
      </c>
      <c r="D163" s="2" t="inlineStr">
        <is>
          <t>200mm W  x 700mm L x 20mm H; to Powder Room</t>
        </is>
      </c>
      <c r="E163" s="2" t="inlineStr">
        <is>
          <t>No</t>
        </is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1</v>
      </c>
      <c r="M163" s="2" t="n">
        <v>1</v>
      </c>
      <c r="N163" s="2" t="n">
        <v>0</v>
      </c>
      <c r="O163" s="2" t="n">
        <v>0</v>
      </c>
      <c r="P163" s="2" t="n">
        <v>0</v>
      </c>
      <c r="Q163" s="2" t="n">
        <v>2</v>
      </c>
      <c r="R163" s="2" t="n">
        <v>37</v>
      </c>
      <c r="S163" s="2" t="n"/>
      <c r="T163" s="2">
        <f>IF(OR(S163="",R163=0),"",ROUND(S163*R163,2))</f>
        <v/>
      </c>
      <c r="U163" s="2" t="inlineStr"/>
    </row>
    <row r="164">
      <c r="A164" s="2" t="inlineStr">
        <is>
          <t>F</t>
        </is>
      </c>
      <c r="B164" s="2" t="inlineStr">
        <is>
          <t>BATHROOM JOINERIES</t>
        </is>
      </c>
      <c r="C164" s="2" t="inlineStr">
        <is>
          <t>K</t>
        </is>
      </c>
      <c r="D164" s="2" t="inlineStr">
        <is>
          <t>200mm W x 200mm L x 1260mm H; to Bathroom 1</t>
        </is>
      </c>
      <c r="E164" s="2" t="inlineStr">
        <is>
          <t>No</t>
        </is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2</v>
      </c>
      <c r="M164" s="2" t="n">
        <v>2</v>
      </c>
      <c r="N164" s="2" t="n">
        <v>0</v>
      </c>
      <c r="O164" s="2" t="n">
        <v>0</v>
      </c>
      <c r="P164" s="2" t="n">
        <v>0</v>
      </c>
      <c r="Q164" s="2" t="n">
        <v>4</v>
      </c>
      <c r="R164" s="2" t="n">
        <v>74</v>
      </c>
      <c r="S164" s="2" t="n"/>
      <c r="T164" s="2">
        <f>IF(OR(S164="",R164=0),"",ROUND(S164*R164,2))</f>
        <v/>
      </c>
      <c r="U164" s="2" t="inlineStr"/>
    </row>
    <row r="165">
      <c r="A165" s="2" t="inlineStr">
        <is>
          <t>F</t>
        </is>
      </c>
      <c r="B165" s="2" t="inlineStr">
        <is>
          <t>BATHROOM JOINERIES</t>
        </is>
      </c>
      <c r="C165" s="2" t="inlineStr">
        <is>
          <t>L</t>
        </is>
      </c>
      <c r="D165" s="2" t="inlineStr">
        <is>
          <t>530mmW x 720mmL x 280mmH; to Bathroom 3</t>
        </is>
      </c>
      <c r="E165" s="2" t="inlineStr">
        <is>
          <t>No</t>
        </is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1</v>
      </c>
      <c r="M165" s="2" t="n">
        <v>1</v>
      </c>
      <c r="N165" s="2" t="n">
        <v>0</v>
      </c>
      <c r="O165" s="2" t="n">
        <v>0</v>
      </c>
      <c r="P165" s="2" t="n">
        <v>0</v>
      </c>
      <c r="Q165" s="2" t="n">
        <v>2</v>
      </c>
      <c r="R165" s="2" t="n">
        <v>37</v>
      </c>
      <c r="S165" s="2" t="n"/>
      <c r="T165" s="2">
        <f>IF(OR(S165="",R165=0),"",ROUND(S165*R165,2))</f>
        <v/>
      </c>
      <c r="U165" s="2" t="inlineStr"/>
    </row>
    <row r="166">
      <c r="A166" s="2" t="inlineStr">
        <is>
          <t>F</t>
        </is>
      </c>
      <c r="B166" s="2" t="inlineStr">
        <is>
          <t>BATHROOM JOINERIES</t>
        </is>
      </c>
      <c r="C166" s="2" t="inlineStr">
        <is>
          <t>L</t>
        </is>
      </c>
      <c r="D166" s="2" t="inlineStr">
        <is>
          <t>500mmW x 720mmL x 50mmH; to Bathroom 3</t>
        </is>
      </c>
      <c r="E166" s="2" t="inlineStr">
        <is>
          <t>No</t>
        </is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1</v>
      </c>
      <c r="M166" s="2" t="n">
        <v>1</v>
      </c>
      <c r="N166" s="2" t="n">
        <v>0</v>
      </c>
      <c r="O166" s="2" t="n">
        <v>0</v>
      </c>
      <c r="P166" s="2" t="n">
        <v>0</v>
      </c>
      <c r="Q166" s="2" t="n">
        <v>2</v>
      </c>
      <c r="R166" s="2" t="n">
        <v>37</v>
      </c>
      <c r="S166" s="2" t="n"/>
      <c r="T166" s="2">
        <f>IF(OR(S166="",R166=0),"",ROUND(S166*R166,2))</f>
        <v/>
      </c>
      <c r="U166" s="2" t="inlineStr"/>
    </row>
    <row r="167">
      <c r="A167" s="2" t="inlineStr">
        <is>
          <t>F</t>
        </is>
      </c>
      <c r="B167" s="2" t="inlineStr">
        <is>
          <t>BATHROOM JOINERIES</t>
        </is>
      </c>
      <c r="C167" s="2" t="inlineStr">
        <is>
          <t>L</t>
        </is>
      </c>
      <c r="D167" s="2" t="inlineStr">
        <is>
          <t>200mm W  x 690mm L x 20mm H; to Guest Room</t>
        </is>
      </c>
      <c r="E167" s="2" t="inlineStr">
        <is>
          <t>No</t>
        </is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1</v>
      </c>
      <c r="M167" s="2" t="n">
        <v>1</v>
      </c>
      <c r="N167" s="2" t="n">
        <v>0</v>
      </c>
      <c r="O167" s="2" t="n">
        <v>0</v>
      </c>
      <c r="P167" s="2" t="n">
        <v>0</v>
      </c>
      <c r="Q167" s="2" t="n">
        <v>2</v>
      </c>
      <c r="R167" s="2" t="n">
        <v>37</v>
      </c>
      <c r="S167" s="2" t="n"/>
      <c r="T167" s="2">
        <f>IF(OR(S167="",R167=0),"",ROUND(S167*R167,2))</f>
        <v/>
      </c>
      <c r="U167" s="2" t="inlineStr"/>
    </row>
    <row r="168">
      <c r="A168" s="2" t="inlineStr">
        <is>
          <t>F</t>
        </is>
      </c>
      <c r="B168" s="2" t="inlineStr">
        <is>
          <t>BATHROOM JOINERIES</t>
        </is>
      </c>
      <c r="C168" s="2" t="inlineStr">
        <is>
          <t>L</t>
        </is>
      </c>
      <c r="D168" s="2" t="inlineStr">
        <is>
          <t>200mm W x 200mm L x 1260mm H; to Bathroom 2</t>
        </is>
      </c>
      <c r="E168" s="2" t="inlineStr">
        <is>
          <t>No</t>
        </is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1</v>
      </c>
      <c r="M168" s="2" t="n">
        <v>1</v>
      </c>
      <c r="N168" s="2" t="n">
        <v>0</v>
      </c>
      <c r="O168" s="2" t="n">
        <v>0</v>
      </c>
      <c r="P168" s="2" t="n">
        <v>0</v>
      </c>
      <c r="Q168" s="2" t="n">
        <v>2</v>
      </c>
      <c r="R168" s="2" t="n">
        <v>37</v>
      </c>
      <c r="S168" s="2" t="n"/>
      <c r="T168" s="2">
        <f>IF(OR(S168="",R168=0),"",ROUND(S168*R168,2))</f>
        <v/>
      </c>
      <c r="U168" s="2" t="inlineStr"/>
    </row>
    <row r="169">
      <c r="A169" s="2" t="inlineStr">
        <is>
          <t>F</t>
        </is>
      </c>
      <c r="B169" s="2" t="inlineStr">
        <is>
          <t>BATHROOM JOINERIES</t>
        </is>
      </c>
      <c r="C169" s="2" t="inlineStr">
        <is>
          <t>M</t>
        </is>
      </c>
      <c r="D169" s="2" t="inlineStr">
        <is>
          <t>530mm W  x 870mm L x 280mm H; to Powder Room</t>
        </is>
      </c>
      <c r="E169" s="2" t="inlineStr">
        <is>
          <t>No</t>
        </is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1</v>
      </c>
      <c r="M169" s="2" t="n">
        <v>1</v>
      </c>
      <c r="N169" s="2" t="n">
        <v>0</v>
      </c>
      <c r="O169" s="2" t="n">
        <v>0</v>
      </c>
      <c r="P169" s="2" t="n">
        <v>0</v>
      </c>
      <c r="Q169" s="2" t="n">
        <v>2</v>
      </c>
      <c r="R169" s="2" t="n">
        <v>37</v>
      </c>
      <c r="S169" s="2" t="n"/>
      <c r="T169" s="2">
        <f>IF(OR(S169="",R169=0),"",ROUND(S169*R169,2))</f>
        <v/>
      </c>
      <c r="U169" s="2" t="inlineStr"/>
    </row>
    <row r="170">
      <c r="A170" s="2" t="inlineStr">
        <is>
          <t>F</t>
        </is>
      </c>
      <c r="B170" s="2" t="inlineStr">
        <is>
          <t>BATHROOM JOINERIES</t>
        </is>
      </c>
      <c r="C170" s="2" t="inlineStr">
        <is>
          <t>M</t>
        </is>
      </c>
      <c r="D170" s="2" t="inlineStr">
        <is>
          <t>500mm W  x 870mm L x 50mm H; to Powder Room</t>
        </is>
      </c>
      <c r="E170" s="2" t="inlineStr">
        <is>
          <t>No</t>
        </is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1</v>
      </c>
      <c r="M170" s="2" t="n">
        <v>1</v>
      </c>
      <c r="N170" s="2" t="n">
        <v>0</v>
      </c>
      <c r="O170" s="2" t="n">
        <v>0</v>
      </c>
      <c r="P170" s="2" t="n">
        <v>0</v>
      </c>
      <c r="Q170" s="2" t="n">
        <v>2</v>
      </c>
      <c r="R170" s="2" t="n">
        <v>37</v>
      </c>
      <c r="S170" s="2" t="n"/>
      <c r="T170" s="2">
        <f>IF(OR(S170="",R170=0),"",ROUND(S170*R170,2))</f>
        <v/>
      </c>
      <c r="U170" s="2" t="inlineStr"/>
    </row>
    <row r="171">
      <c r="A171" s="2" t="inlineStr">
        <is>
          <t>F</t>
        </is>
      </c>
      <c r="B171" s="2" t="inlineStr">
        <is>
          <t>BATHROOM JOINERIES</t>
        </is>
      </c>
      <c r="C171" s="2" t="inlineStr">
        <is>
          <t>M</t>
        </is>
      </c>
      <c r="D171" s="2" t="inlineStr">
        <is>
          <t>200mm W x 200mm L x 1260mm H; to Bathroom 3</t>
        </is>
      </c>
      <c r="E171" s="2" t="inlineStr">
        <is>
          <t>No</t>
        </is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1</v>
      </c>
      <c r="M171" s="2" t="n">
        <v>1</v>
      </c>
      <c r="N171" s="2" t="n">
        <v>0</v>
      </c>
      <c r="O171" s="2" t="n">
        <v>0</v>
      </c>
      <c r="P171" s="2" t="n">
        <v>0</v>
      </c>
      <c r="Q171" s="2" t="n">
        <v>2</v>
      </c>
      <c r="R171" s="2" t="n">
        <v>37</v>
      </c>
      <c r="S171" s="2" t="n"/>
      <c r="T171" s="2">
        <f>IF(OR(S171="",R171=0),"",ROUND(S171*R171,2))</f>
        <v/>
      </c>
      <c r="U171" s="2" t="inlineStr"/>
    </row>
    <row r="172">
      <c r="A172" s="2" t="inlineStr">
        <is>
          <t>F</t>
        </is>
      </c>
      <c r="B172" s="2" t="inlineStr">
        <is>
          <t>BATHROOM JOINERIES</t>
        </is>
      </c>
      <c r="C172" s="2" t="inlineStr">
        <is>
          <t>N</t>
        </is>
      </c>
      <c r="D172" s="2" t="inlineStr">
        <is>
          <t>530mm W  x 1340mm L x 280mm H; to Guest Room</t>
        </is>
      </c>
      <c r="E172" s="2" t="inlineStr">
        <is>
          <t>No</t>
        </is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1</v>
      </c>
      <c r="M172" s="2" t="n">
        <v>1</v>
      </c>
      <c r="N172" s="2" t="n">
        <v>0</v>
      </c>
      <c r="O172" s="2" t="n">
        <v>0</v>
      </c>
      <c r="P172" s="2" t="n">
        <v>0</v>
      </c>
      <c r="Q172" s="2" t="n">
        <v>2</v>
      </c>
      <c r="R172" s="2" t="n">
        <v>37</v>
      </c>
      <c r="S172" s="2" t="n"/>
      <c r="T172" s="2">
        <f>IF(OR(S172="",R172=0),"",ROUND(S172*R172,2))</f>
        <v/>
      </c>
      <c r="U172" s="2" t="inlineStr"/>
    </row>
    <row r="173">
      <c r="A173" s="2" t="inlineStr">
        <is>
          <t>F</t>
        </is>
      </c>
      <c r="B173" s="2" t="inlineStr">
        <is>
          <t>BATHROOM JOINERIES</t>
        </is>
      </c>
      <c r="C173" s="2" t="inlineStr">
        <is>
          <t>N</t>
        </is>
      </c>
      <c r="D173" s="2" t="inlineStr">
        <is>
          <t>500mm W  x 1340mm L x 50mm H; to Guest Room</t>
        </is>
      </c>
      <c r="E173" s="2" t="inlineStr">
        <is>
          <t>No</t>
        </is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1</v>
      </c>
      <c r="M173" s="2" t="n">
        <v>1</v>
      </c>
      <c r="N173" s="2" t="n">
        <v>0</v>
      </c>
      <c r="O173" s="2" t="n">
        <v>0</v>
      </c>
      <c r="P173" s="2" t="n">
        <v>0</v>
      </c>
      <c r="Q173" s="2" t="n">
        <v>2</v>
      </c>
      <c r="R173" s="2" t="n">
        <v>37</v>
      </c>
      <c r="S173" s="2" t="n"/>
      <c r="T173" s="2">
        <f>IF(OR(S173="",R173=0),"",ROUND(S173*R173,2))</f>
        <v/>
      </c>
      <c r="U173" s="2" t="inlineStr"/>
    </row>
    <row r="174">
      <c r="A174" s="2" t="inlineStr">
        <is>
          <t>F</t>
        </is>
      </c>
      <c r="B174" s="2" t="inlineStr">
        <is>
          <t>BATHROOM JOINERIES</t>
        </is>
      </c>
      <c r="C174" s="2" t="inlineStr">
        <is>
          <t>N</t>
        </is>
      </c>
      <c r="D174" s="2" t="inlineStr">
        <is>
          <t>200mm W  x 200mm L x 1260mm H; to Powder Room</t>
        </is>
      </c>
      <c r="E174" s="2" t="inlineStr">
        <is>
          <t>No</t>
        </is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1</v>
      </c>
      <c r="M174" s="2" t="n">
        <v>1</v>
      </c>
      <c r="N174" s="2" t="n">
        <v>0</v>
      </c>
      <c r="O174" s="2" t="n">
        <v>0</v>
      </c>
      <c r="P174" s="2" t="n">
        <v>0</v>
      </c>
      <c r="Q174" s="2" t="n">
        <v>2</v>
      </c>
      <c r="R174" s="2" t="n">
        <v>37</v>
      </c>
      <c r="S174" s="2" t="n"/>
      <c r="T174" s="2">
        <f>IF(OR(S174="",R174=0),"",ROUND(S174*R174,2))</f>
        <v/>
      </c>
      <c r="U174" s="2" t="inlineStr"/>
    </row>
    <row r="175">
      <c r="A175" s="2" t="inlineStr">
        <is>
          <t>F</t>
        </is>
      </c>
      <c r="B175" s="2" t="inlineStr">
        <is>
          <t>BATHROOM JOINERIES</t>
        </is>
      </c>
      <c r="C175" s="2" t="inlineStr">
        <is>
          <t>P</t>
        </is>
      </c>
      <c r="D175" s="2" t="inlineStr">
        <is>
          <t>650mm L x 600mm W x 330mm H</t>
        </is>
      </c>
      <c r="E175" s="2" t="inlineStr">
        <is>
          <t>No</t>
        </is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1</v>
      </c>
      <c r="P175" s="2" t="n">
        <v>0</v>
      </c>
      <c r="Q175" s="2" t="n">
        <v>1</v>
      </c>
      <c r="R175" s="2" t="n">
        <v>1</v>
      </c>
      <c r="S175" s="2" t="n"/>
      <c r="T175" s="2">
        <f>IF(OR(S175="",R175=0),"",ROUND(S175*R175,2))</f>
        <v/>
      </c>
      <c r="U175" s="2" t="inlineStr"/>
    </row>
    <row r="176">
      <c r="A176" s="2" t="inlineStr">
        <is>
          <t>F</t>
        </is>
      </c>
      <c r="B176" s="2" t="inlineStr">
        <is>
          <t>BATHROOM JOINERIES</t>
        </is>
      </c>
      <c r="C176" s="2" t="inlineStr">
        <is>
          <t>P</t>
        </is>
      </c>
      <c r="D176" s="2" t="inlineStr">
        <is>
          <t>650mm L x 600mm W x 20mm T</t>
        </is>
      </c>
      <c r="E176" s="2" t="inlineStr">
        <is>
          <t>No</t>
        </is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1</v>
      </c>
      <c r="P176" s="2" t="n">
        <v>0</v>
      </c>
      <c r="Q176" s="2" t="n">
        <v>1</v>
      </c>
      <c r="R176" s="2" t="n">
        <v>1</v>
      </c>
      <c r="S176" s="2" t="n"/>
      <c r="T176" s="2">
        <f>IF(OR(S176="",R176=0),"",ROUND(S176*R176,2))</f>
        <v/>
      </c>
      <c r="U176" s="2" t="inlineStr"/>
    </row>
    <row r="177">
      <c r="A177" s="2" t="inlineStr">
        <is>
          <t>F</t>
        </is>
      </c>
      <c r="B177" s="2" t="inlineStr">
        <is>
          <t>BATHROOM JOINERIES</t>
        </is>
      </c>
      <c r="C177" s="2" t="inlineStr">
        <is>
          <t>P</t>
        </is>
      </c>
      <c r="D177" s="2" t="inlineStr">
        <is>
          <t>200mm W  x 200mm L x 1260mm H; to Guest Room</t>
        </is>
      </c>
      <c r="E177" s="2" t="inlineStr">
        <is>
          <t>No</t>
        </is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1</v>
      </c>
      <c r="M177" s="2" t="n">
        <v>1</v>
      </c>
      <c r="N177" s="2" t="n">
        <v>0</v>
      </c>
      <c r="O177" s="2" t="n">
        <v>0</v>
      </c>
      <c r="P177" s="2" t="n">
        <v>0</v>
      </c>
      <c r="Q177" s="2" t="n">
        <v>2</v>
      </c>
      <c r="R177" s="2" t="n">
        <v>37</v>
      </c>
      <c r="S177" s="2" t="n"/>
      <c r="T177" s="2">
        <f>IF(OR(S177="",R177=0),"",ROUND(S177*R177,2))</f>
        <v/>
      </c>
      <c r="U177" s="2" t="inlineStr"/>
    </row>
    <row r="178">
      <c r="A178" s="2" t="inlineStr">
        <is>
          <t>F</t>
        </is>
      </c>
      <c r="B178" s="2" t="inlineStr">
        <is>
          <t>KITCHEN CABINETS</t>
        </is>
      </c>
      <c r="C178" s="2" t="inlineStr">
        <is>
          <t>A</t>
        </is>
      </c>
      <c r="D178" s="2" t="inlineStr">
        <is>
          <t>U-shaped, 600mmW x (2044mm+1448mm+1340mm)L x 880mmH; to GF kitchen</t>
        </is>
      </c>
      <c r="E178" s="2" t="inlineStr">
        <is>
          <t>No</t>
        </is>
      </c>
      <c r="F178" s="2" t="n">
        <v>2</v>
      </c>
      <c r="G178" s="2" t="n">
        <v>2</v>
      </c>
      <c r="H178" s="2" t="n">
        <v>4</v>
      </c>
      <c r="I178" s="2" t="n">
        <v>4</v>
      </c>
      <c r="J178" s="2" t="n">
        <v>6</v>
      </c>
      <c r="K178" s="2" t="n">
        <v>6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24</v>
      </c>
      <c r="R178" s="2" t="n">
        <v>326</v>
      </c>
      <c r="S178" s="2" t="n"/>
      <c r="T178" s="2">
        <f>IF(OR(S178="",R178=0),"",ROUND(S178*R178,2))</f>
        <v/>
      </c>
      <c r="U178" s="2" t="inlineStr"/>
    </row>
    <row r="179">
      <c r="A179" s="2" t="inlineStr">
        <is>
          <t>F</t>
        </is>
      </c>
      <c r="B179" s="2" t="inlineStr">
        <is>
          <t>KITCHEN CABINETS</t>
        </is>
      </c>
      <c r="C179" s="2" t="inlineStr">
        <is>
          <t>A</t>
        </is>
      </c>
      <c r="D179" s="2" t="inlineStr">
        <is>
          <t>350mm W x 750mm L x 1680mm; to GF kitchen</t>
        </is>
      </c>
      <c r="E179" s="2" t="inlineStr">
        <is>
          <t>No</t>
        </is>
      </c>
      <c r="F179" s="2" t="n">
        <v>2</v>
      </c>
      <c r="G179" s="2" t="n">
        <v>2</v>
      </c>
      <c r="H179" s="2" t="n">
        <v>2</v>
      </c>
      <c r="I179" s="2" t="n">
        <v>2</v>
      </c>
      <c r="J179" s="2" t="n">
        <v>2</v>
      </c>
      <c r="K179" s="2" t="n">
        <v>2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12</v>
      </c>
      <c r="R179" s="2" t="n">
        <v>184</v>
      </c>
      <c r="S179" s="2" t="n"/>
      <c r="T179" s="2">
        <f>IF(OR(S179="",R179=0),"",ROUND(S179*R179,2))</f>
        <v/>
      </c>
      <c r="U179" s="2" t="inlineStr"/>
    </row>
    <row r="180">
      <c r="A180" s="2" t="inlineStr">
        <is>
          <t>F</t>
        </is>
      </c>
      <c r="B180" s="2" t="inlineStr">
        <is>
          <t>KITCHEN CABINETS</t>
        </is>
      </c>
      <c r="C180" s="2" t="inlineStr">
        <is>
          <t>B</t>
        </is>
      </c>
      <c r="D180" s="2" t="inlineStr">
        <is>
          <t>L-shaped,  750mm W x 3110mm L x 880mm H &amp; 600 mm W x 1770mm L x 880mm H; to GF kitchen</t>
        </is>
      </c>
      <c r="E180" s="2" t="inlineStr">
        <is>
          <t>No</t>
        </is>
      </c>
      <c r="F180" s="2" t="n">
        <v>2</v>
      </c>
      <c r="G180" s="2" t="n">
        <v>2</v>
      </c>
      <c r="H180" s="2" t="n">
        <v>2</v>
      </c>
      <c r="I180" s="2" t="n">
        <v>2</v>
      </c>
      <c r="J180" s="2" t="n">
        <v>2</v>
      </c>
      <c r="K180" s="2" t="n">
        <v>2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12</v>
      </c>
      <c r="R180" s="2" t="n">
        <v>184</v>
      </c>
      <c r="S180" s="2" t="n"/>
      <c r="T180" s="2">
        <f>IF(OR(S180="",R180=0),"",ROUND(S180*R180,2))</f>
        <v/>
      </c>
      <c r="U180" s="2" t="inlineStr"/>
    </row>
    <row r="181">
      <c r="A181" s="2" t="inlineStr">
        <is>
          <t>F</t>
        </is>
      </c>
      <c r="B181" s="2" t="inlineStr">
        <is>
          <t>KITCHEN CABINETS</t>
        </is>
      </c>
      <c r="C181" s="2" t="inlineStr">
        <is>
          <t>B</t>
        </is>
      </c>
      <c r="D181" s="2" t="inlineStr">
        <is>
          <t>350mmW x 717mmL x 1680 mmH; to GF kitchen</t>
        </is>
      </c>
      <c r="E181" s="2" t="inlineStr">
        <is>
          <t>No</t>
        </is>
      </c>
      <c r="F181" s="2" t="n">
        <v>2</v>
      </c>
      <c r="G181" s="2" t="n">
        <v>2</v>
      </c>
      <c r="H181" s="2" t="n">
        <v>4</v>
      </c>
      <c r="I181" s="2" t="n">
        <v>4</v>
      </c>
      <c r="J181" s="2" t="n">
        <v>6</v>
      </c>
      <c r="K181" s="2" t="n">
        <v>6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24</v>
      </c>
      <c r="R181" s="2" t="n">
        <v>326</v>
      </c>
      <c r="S181" s="2" t="n"/>
      <c r="T181" s="2">
        <f>IF(OR(S181="",R181=0),"",ROUND(S181*R181,2))</f>
        <v/>
      </c>
      <c r="U181" s="2" t="inlineStr"/>
    </row>
    <row r="182">
      <c r="A182" s="2" t="inlineStr">
        <is>
          <t>F</t>
        </is>
      </c>
      <c r="B182" s="2" t="inlineStr">
        <is>
          <t>KITCHEN CABINETS</t>
        </is>
      </c>
      <c r="C182" s="2" t="inlineStr">
        <is>
          <t>C</t>
        </is>
      </c>
      <c r="D182" s="2" t="inlineStr">
        <is>
          <t>600mm W x 710mm L x 880mm H; to GF kitchen</t>
        </is>
      </c>
      <c r="E182" s="2" t="inlineStr">
        <is>
          <t>No</t>
        </is>
      </c>
      <c r="F182" s="2" t="n">
        <v>2</v>
      </c>
      <c r="G182" s="2" t="n">
        <v>2</v>
      </c>
      <c r="H182" s="2" t="n">
        <v>2</v>
      </c>
      <c r="I182" s="2" t="n">
        <v>2</v>
      </c>
      <c r="J182" s="2" t="n">
        <v>2</v>
      </c>
      <c r="K182" s="2" t="n">
        <v>2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12</v>
      </c>
      <c r="R182" s="2" t="n">
        <v>184</v>
      </c>
      <c r="S182" s="2" t="n"/>
      <c r="T182" s="2">
        <f>IF(OR(S182="",R182=0),"",ROUND(S182*R182,2))</f>
        <v/>
      </c>
      <c r="U182" s="2" t="inlineStr"/>
    </row>
    <row r="183">
      <c r="A183" s="2" t="inlineStr">
        <is>
          <t>F</t>
        </is>
      </c>
      <c r="B183" s="2" t="inlineStr">
        <is>
          <t>KITCHEN CABINETS</t>
        </is>
      </c>
      <c r="C183" s="2" t="inlineStr">
        <is>
          <t>C</t>
        </is>
      </c>
      <c r="D183" s="2" t="inlineStr">
        <is>
          <t>350mm W x 700mm L x 1100mm H; to GF kitchen</t>
        </is>
      </c>
      <c r="E183" s="2" t="inlineStr">
        <is>
          <t>No</t>
        </is>
      </c>
      <c r="F183" s="2" t="n">
        <v>2</v>
      </c>
      <c r="G183" s="2" t="n">
        <v>2</v>
      </c>
      <c r="H183" s="2" t="n">
        <v>2</v>
      </c>
      <c r="I183" s="2" t="n">
        <v>2</v>
      </c>
      <c r="J183" s="2" t="n">
        <v>2</v>
      </c>
      <c r="K183" s="2" t="n">
        <v>2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12</v>
      </c>
      <c r="R183" s="2" t="n">
        <v>184</v>
      </c>
      <c r="S183" s="2" t="n"/>
      <c r="T183" s="2">
        <f>IF(OR(S183="",R183=0),"",ROUND(S183*R183,2))</f>
        <v/>
      </c>
      <c r="U183" s="2" t="inlineStr"/>
    </row>
    <row r="184">
      <c r="A184" s="2" t="inlineStr">
        <is>
          <t>F</t>
        </is>
      </c>
      <c r="B184" s="2" t="inlineStr">
        <is>
          <t>KITCHEN CABINETS</t>
        </is>
      </c>
      <c r="C184" s="2" t="inlineStr">
        <is>
          <t>D</t>
        </is>
      </c>
      <c r="D184" s="2" t="inlineStr">
        <is>
          <t>615mm W x 4035mm L x 900mm H; to GF kitchen</t>
        </is>
      </c>
      <c r="E184" s="2" t="inlineStr">
        <is>
          <t>No</t>
        </is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1</v>
      </c>
      <c r="M184" s="2" t="n">
        <v>1</v>
      </c>
      <c r="N184" s="2" t="n">
        <v>0</v>
      </c>
      <c r="O184" s="2" t="n">
        <v>0</v>
      </c>
      <c r="P184" s="2" t="n">
        <v>0</v>
      </c>
      <c r="Q184" s="2" t="n">
        <v>2</v>
      </c>
      <c r="R184" s="2" t="n">
        <v>37</v>
      </c>
      <c r="S184" s="2" t="n"/>
      <c r="T184" s="2">
        <f>IF(OR(S184="",R184=0),"",ROUND(S184*R184,2))</f>
        <v/>
      </c>
      <c r="U184" s="2" t="inlineStr"/>
    </row>
    <row r="185">
      <c r="A185" s="2" t="inlineStr">
        <is>
          <t>F</t>
        </is>
      </c>
      <c r="B185" s="2" t="inlineStr">
        <is>
          <t>KITCHEN CABINETS</t>
        </is>
      </c>
      <c r="C185" s="2" t="inlineStr">
        <is>
          <t>D</t>
        </is>
      </c>
      <c r="D185" s="2" t="inlineStr">
        <is>
          <t>350mmW x 660mmL x 1100 mmH; to GF kitchen</t>
        </is>
      </c>
      <c r="E185" s="2" t="inlineStr">
        <is>
          <t>No</t>
        </is>
      </c>
      <c r="F185" s="2" t="n">
        <v>2</v>
      </c>
      <c r="G185" s="2" t="n">
        <v>2</v>
      </c>
      <c r="H185" s="2" t="n">
        <v>4</v>
      </c>
      <c r="I185" s="2" t="n">
        <v>4</v>
      </c>
      <c r="J185" s="2" t="n">
        <v>6</v>
      </c>
      <c r="K185" s="2" t="n">
        <v>6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24</v>
      </c>
      <c r="R185" s="2" t="n">
        <v>326</v>
      </c>
      <c r="S185" s="2" t="n"/>
      <c r="T185" s="2">
        <f>IF(OR(S185="",R185=0),"",ROUND(S185*R185,2))</f>
        <v/>
      </c>
      <c r="U185" s="2" t="inlineStr"/>
    </row>
    <row r="186">
      <c r="A186" s="2" t="inlineStr">
        <is>
          <t>F</t>
        </is>
      </c>
      <c r="B186" s="2" t="inlineStr">
        <is>
          <t>KITCHEN CABINETS</t>
        </is>
      </c>
      <c r="C186" s="2" t="inlineStr">
        <is>
          <t>E</t>
        </is>
      </c>
      <c r="D186" s="2" t="inlineStr">
        <is>
          <t>L shaped, 350mmW x (1713mm+660mm)L x 1100mmH; to GF kitchen</t>
        </is>
      </c>
      <c r="E186" s="2" t="inlineStr">
        <is>
          <t>No</t>
        </is>
      </c>
      <c r="F186" s="2" t="n">
        <v>2</v>
      </c>
      <c r="G186" s="2" t="n">
        <v>2</v>
      </c>
      <c r="H186" s="2" t="n">
        <v>4</v>
      </c>
      <c r="I186" s="2" t="n">
        <v>4</v>
      </c>
      <c r="J186" s="2" t="n">
        <v>6</v>
      </c>
      <c r="K186" s="2" t="n">
        <v>6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24</v>
      </c>
      <c r="R186" s="2" t="n">
        <v>326</v>
      </c>
      <c r="S186" s="2" t="n"/>
      <c r="T186" s="2">
        <f>IF(OR(S186="",R186=0),"",ROUND(S186*R186,2))</f>
        <v/>
      </c>
      <c r="U186" s="2" t="inlineStr"/>
    </row>
    <row r="187">
      <c r="A187" s="2" t="inlineStr">
        <is>
          <t>F</t>
        </is>
      </c>
      <c r="B187" s="2" t="inlineStr">
        <is>
          <t>KITCHEN CABINETS</t>
        </is>
      </c>
      <c r="C187" s="2" t="inlineStr">
        <is>
          <t>E</t>
        </is>
      </c>
      <c r="D187" s="2" t="inlineStr">
        <is>
          <t>350mm W  x 950mm L x 1200mm H; to GF kitchen</t>
        </is>
      </c>
      <c r="E187" s="2" t="inlineStr">
        <is>
          <t>No</t>
        </is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2</v>
      </c>
      <c r="M187" s="2" t="n">
        <v>2</v>
      </c>
      <c r="N187" s="2" t="n">
        <v>0</v>
      </c>
      <c r="O187" s="2" t="n">
        <v>0</v>
      </c>
      <c r="P187" s="2" t="n">
        <v>0</v>
      </c>
      <c r="Q187" s="2" t="n">
        <v>4</v>
      </c>
      <c r="R187" s="2" t="n">
        <v>74</v>
      </c>
      <c r="S187" s="2" t="n"/>
      <c r="T187" s="2">
        <f>IF(OR(S187="",R187=0),"",ROUND(S187*R187,2))</f>
        <v/>
      </c>
      <c r="U187" s="2" t="inlineStr"/>
    </row>
    <row r="188">
      <c r="A188" s="2" t="inlineStr">
        <is>
          <t>F</t>
        </is>
      </c>
      <c r="B188" s="2" t="inlineStr">
        <is>
          <t>KITCHEN CABINETS</t>
        </is>
      </c>
      <c r="C188" s="2" t="inlineStr">
        <is>
          <t>F</t>
        </is>
      </c>
      <c r="D188" s="2" t="inlineStr">
        <is>
          <t>350mm W x 910mm L x 1100mm H; to GF kitchen</t>
        </is>
      </c>
      <c r="E188" s="2" t="inlineStr">
        <is>
          <t>No</t>
        </is>
      </c>
      <c r="F188" s="2" t="n">
        <v>2</v>
      </c>
      <c r="G188" s="2" t="n">
        <v>2</v>
      </c>
      <c r="H188" s="2" t="n">
        <v>2</v>
      </c>
      <c r="I188" s="2" t="n">
        <v>2</v>
      </c>
      <c r="J188" s="2" t="n">
        <v>2</v>
      </c>
      <c r="K188" s="2" t="n">
        <v>2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12</v>
      </c>
      <c r="R188" s="2" t="n">
        <v>184</v>
      </c>
      <c r="S188" s="2" t="n"/>
      <c r="T188" s="2">
        <f>IF(OR(S188="",R188=0),"",ROUND(S188*R188,2))</f>
        <v/>
      </c>
      <c r="U188" s="2" t="inlineStr"/>
    </row>
    <row r="189">
      <c r="A189" s="2" t="inlineStr">
        <is>
          <t>F</t>
        </is>
      </c>
      <c r="B189" s="2" t="inlineStr">
        <is>
          <t>KITCHEN CABINETS</t>
        </is>
      </c>
      <c r="C189" s="2" t="inlineStr">
        <is>
          <t>F</t>
        </is>
      </c>
      <c r="D189" s="2" t="inlineStr">
        <is>
          <t>620mmW x 650mmL x 2600 mmH; to GF kitchen</t>
        </is>
      </c>
      <c r="E189" s="2" t="inlineStr">
        <is>
          <t>No</t>
        </is>
      </c>
      <c r="F189" s="2" t="n">
        <v>2</v>
      </c>
      <c r="G189" s="2" t="n">
        <v>2</v>
      </c>
      <c r="H189" s="2" t="n">
        <v>4</v>
      </c>
      <c r="I189" s="2" t="n">
        <v>4</v>
      </c>
      <c r="J189" s="2" t="n">
        <v>6</v>
      </c>
      <c r="K189" s="2" t="n">
        <v>6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24</v>
      </c>
      <c r="R189" s="2" t="n">
        <v>326</v>
      </c>
      <c r="S189" s="2" t="n"/>
      <c r="T189" s="2">
        <f>IF(OR(S189="",R189=0),"",ROUND(S189*R189,2))</f>
        <v/>
      </c>
      <c r="U189" s="2" t="inlineStr"/>
    </row>
    <row r="190">
      <c r="A190" s="2" t="inlineStr">
        <is>
          <t>F</t>
        </is>
      </c>
      <c r="B190" s="2" t="inlineStr">
        <is>
          <t>KITCHEN CABINETS</t>
        </is>
      </c>
      <c r="C190" s="2" t="inlineStr">
        <is>
          <t>G</t>
        </is>
      </c>
      <c r="D190" s="2" t="inlineStr">
        <is>
          <t>350mm W x 430mm L x 1100mm H; to GF kitchen</t>
        </is>
      </c>
      <c r="E190" s="2" t="inlineStr">
        <is>
          <t>No</t>
        </is>
      </c>
      <c r="F190" s="2" t="n">
        <v>2</v>
      </c>
      <c r="G190" s="2" t="n">
        <v>2</v>
      </c>
      <c r="H190" s="2" t="n">
        <v>2</v>
      </c>
      <c r="I190" s="2" t="n">
        <v>2</v>
      </c>
      <c r="J190" s="2" t="n">
        <v>2</v>
      </c>
      <c r="K190" s="2" t="n">
        <v>2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12</v>
      </c>
      <c r="R190" s="2" t="n">
        <v>184</v>
      </c>
      <c r="S190" s="2" t="n"/>
      <c r="T190" s="2">
        <f>IF(OR(S190="",R190=0),"",ROUND(S190*R190,2))</f>
        <v/>
      </c>
      <c r="U190" s="2" t="inlineStr"/>
    </row>
    <row r="191">
      <c r="A191" s="2" t="inlineStr">
        <is>
          <t>F</t>
        </is>
      </c>
      <c r="B191" s="2" t="inlineStr">
        <is>
          <t>KITCHEN CABINETS</t>
        </is>
      </c>
      <c r="C191" s="2" t="inlineStr">
        <is>
          <t>G</t>
        </is>
      </c>
      <c r="D191" s="2" t="inlineStr">
        <is>
          <t>620mm W x 640mm L x 2600mm H; to GF kitchen</t>
        </is>
      </c>
      <c r="E191" s="2" t="inlineStr">
        <is>
          <t>No</t>
        </is>
      </c>
      <c r="F191" s="2" t="n">
        <v>2</v>
      </c>
      <c r="G191" s="2" t="n">
        <v>2</v>
      </c>
      <c r="H191" s="2" t="n">
        <v>2</v>
      </c>
      <c r="I191" s="2" t="n">
        <v>2</v>
      </c>
      <c r="J191" s="2" t="n">
        <v>2</v>
      </c>
      <c r="K191" s="2" t="n">
        <v>2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12</v>
      </c>
      <c r="R191" s="2" t="n">
        <v>184</v>
      </c>
      <c r="S191" s="2" t="n"/>
      <c r="T191" s="2">
        <f>IF(OR(S191="",R191=0),"",ROUND(S191*R191,2))</f>
        <v/>
      </c>
      <c r="U191" s="2" t="inlineStr"/>
    </row>
    <row r="192">
      <c r="A192" s="2" t="inlineStr">
        <is>
          <t>F</t>
        </is>
      </c>
      <c r="B192" s="2" t="inlineStr">
        <is>
          <t>KITCHEN CABINETS</t>
        </is>
      </c>
      <c r="C192" s="2" t="inlineStr">
        <is>
          <t>H</t>
        </is>
      </c>
      <c r="D192" s="2" t="inlineStr">
        <is>
          <t>350mm W x 400mm L x 1100mm H; to GF kitchen</t>
        </is>
      </c>
      <c r="E192" s="2" t="inlineStr">
        <is>
          <t>No</t>
        </is>
      </c>
      <c r="F192" s="2" t="n">
        <v>2</v>
      </c>
      <c r="G192" s="2" t="n">
        <v>2</v>
      </c>
      <c r="H192" s="2" t="n">
        <v>2</v>
      </c>
      <c r="I192" s="2" t="n">
        <v>2</v>
      </c>
      <c r="J192" s="2" t="n">
        <v>2</v>
      </c>
      <c r="K192" s="2" t="n">
        <v>2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12</v>
      </c>
      <c r="R192" s="2" t="n">
        <v>184</v>
      </c>
      <c r="S192" s="2" t="n"/>
      <c r="T192" s="2">
        <f>IF(OR(S192="",R192=0),"",ROUND(S192*R192,2))</f>
        <v/>
      </c>
      <c r="U192" s="2" t="inlineStr"/>
    </row>
    <row r="193">
      <c r="A193" s="2" t="inlineStr">
        <is>
          <t>F</t>
        </is>
      </c>
      <c r="B193" s="2" t="inlineStr">
        <is>
          <t>KITCHEN CABINETS</t>
        </is>
      </c>
      <c r="C193" s="2" t="inlineStr">
        <is>
          <t>H</t>
        </is>
      </c>
      <c r="D193" s="2" t="inlineStr">
        <is>
          <t>640mm W  x 1220mm L x 2700mm H; to GF kitchen</t>
        </is>
      </c>
      <c r="E193" s="2" t="inlineStr">
        <is>
          <t>No</t>
        </is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1</v>
      </c>
      <c r="M193" s="2" t="n">
        <v>1</v>
      </c>
      <c r="N193" s="2" t="n">
        <v>0</v>
      </c>
      <c r="O193" s="2" t="n">
        <v>0</v>
      </c>
      <c r="P193" s="2" t="n">
        <v>0</v>
      </c>
      <c r="Q193" s="2" t="n">
        <v>2</v>
      </c>
      <c r="R193" s="2" t="n">
        <v>37</v>
      </c>
      <c r="S193" s="2" t="n"/>
      <c r="T193" s="2">
        <f>IF(OR(S193="",R193=0),"",ROUND(S193*R193,2))</f>
        <v/>
      </c>
      <c r="U193" s="2" t="inlineStr"/>
    </row>
    <row r="194">
      <c r="A194" s="2" t="inlineStr">
        <is>
          <t>F</t>
        </is>
      </c>
      <c r="B194" s="2" t="inlineStr">
        <is>
          <t>KITCHEN CABINETS</t>
        </is>
      </c>
      <c r="C194" s="2" t="inlineStr">
        <is>
          <t>J</t>
        </is>
      </c>
      <c r="D194" s="2" t="inlineStr">
        <is>
          <t>350mm W  x 910mm L x 1200mm H; to GF kitchen</t>
        </is>
      </c>
      <c r="E194" s="2" t="inlineStr">
        <is>
          <t>No</t>
        </is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1</v>
      </c>
      <c r="M194" s="2" t="n">
        <v>1</v>
      </c>
      <c r="N194" s="2" t="n">
        <v>0</v>
      </c>
      <c r="O194" s="2" t="n">
        <v>0</v>
      </c>
      <c r="P194" s="2" t="n">
        <v>0</v>
      </c>
      <c r="Q194" s="2" t="n">
        <v>2</v>
      </c>
      <c r="R194" s="2" t="n">
        <v>37</v>
      </c>
      <c r="S194" s="2" t="n"/>
      <c r="T194" s="2">
        <f>IF(OR(S194="",R194=0),"",ROUND(S194*R194,2))</f>
        <v/>
      </c>
      <c r="U194" s="2" t="inlineStr"/>
    </row>
    <row r="195">
      <c r="A195" s="2" t="inlineStr">
        <is>
          <t>F</t>
        </is>
      </c>
      <c r="B195" s="2" t="inlineStr">
        <is>
          <t>KITCHEN CABINETS</t>
        </is>
      </c>
      <c r="C195" s="2" t="inlineStr">
        <is>
          <t>K</t>
        </is>
      </c>
      <c r="D195" s="2" t="inlineStr">
        <is>
          <t>950mm W  x 4035mm L x 900mm H; to GF kitchen</t>
        </is>
      </c>
      <c r="E195" s="2" t="inlineStr">
        <is>
          <t>No</t>
        </is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1</v>
      </c>
      <c r="M195" s="2" t="n">
        <v>1</v>
      </c>
      <c r="N195" s="2" t="n">
        <v>0</v>
      </c>
      <c r="O195" s="2" t="n">
        <v>0</v>
      </c>
      <c r="P195" s="2" t="n">
        <v>0</v>
      </c>
      <c r="Q195" s="2" t="n">
        <v>2</v>
      </c>
      <c r="R195" s="2" t="n">
        <v>37</v>
      </c>
      <c r="S195" s="2" t="n"/>
      <c r="T195" s="2">
        <f>IF(OR(S195="",R195=0),"",ROUND(S195*R195,2))</f>
        <v/>
      </c>
      <c r="U195" s="2" t="inlineStr"/>
    </row>
    <row r="196">
      <c r="A196" s="2" t="inlineStr">
        <is>
          <t>F</t>
        </is>
      </c>
      <c r="B196" s="2" t="inlineStr">
        <is>
          <t>MIRROR CARCASS</t>
        </is>
      </c>
      <c r="C196" s="2" t="inlineStr">
        <is>
          <t>A</t>
        </is>
      </c>
      <c r="D196" s="2" t="inlineStr">
        <is>
          <t>200mm W x 1050mm L x 1260mm H; to FF bathroom 1</t>
        </is>
      </c>
      <c r="E196" s="2" t="inlineStr">
        <is>
          <t>No</t>
        </is>
      </c>
      <c r="F196" s="2" t="n">
        <v>2</v>
      </c>
      <c r="G196" s="2" t="n">
        <v>2</v>
      </c>
      <c r="H196" s="2" t="n">
        <v>2</v>
      </c>
      <c r="I196" s="2" t="n">
        <v>2</v>
      </c>
      <c r="J196" s="2" t="n">
        <v>2</v>
      </c>
      <c r="K196" s="2" t="n">
        <v>2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12</v>
      </c>
      <c r="R196" s="2" t="n">
        <v>184</v>
      </c>
      <c r="S196" s="2" t="n"/>
      <c r="T196" s="2">
        <f>IF(OR(S196="",R196=0),"",ROUND(S196*R196,2))</f>
        <v/>
      </c>
      <c r="U196" s="2" t="inlineStr"/>
    </row>
    <row r="197">
      <c r="A197" s="2" t="inlineStr">
        <is>
          <t>F</t>
        </is>
      </c>
      <c r="B197" s="2" t="inlineStr">
        <is>
          <t>MIRROR CARCASS</t>
        </is>
      </c>
      <c r="C197" s="2" t="inlineStr">
        <is>
          <t>B</t>
        </is>
      </c>
      <c r="D197" s="2" t="inlineStr">
        <is>
          <t>200mm W x 1170mm L x 1260mm H; to FF master bathroom</t>
        </is>
      </c>
      <c r="E197" s="2" t="inlineStr">
        <is>
          <t>No</t>
        </is>
      </c>
      <c r="F197" s="2" t="n">
        <v>2</v>
      </c>
      <c r="G197" s="2" t="n">
        <v>2</v>
      </c>
      <c r="H197" s="2" t="n">
        <v>2</v>
      </c>
      <c r="I197" s="2" t="n">
        <v>2</v>
      </c>
      <c r="J197" s="2" t="n">
        <v>2</v>
      </c>
      <c r="K197" s="2" t="n">
        <v>2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12</v>
      </c>
      <c r="R197" s="2" t="n">
        <v>184</v>
      </c>
      <c r="S197" s="2" t="n"/>
      <c r="T197" s="2">
        <f>IF(OR(S197="",R197=0),"",ROUND(S197*R197,2))</f>
        <v/>
      </c>
      <c r="U197" s="2" t="inlineStr"/>
    </row>
    <row r="198">
      <c r="A198" s="2" t="inlineStr">
        <is>
          <t>F</t>
        </is>
      </c>
      <c r="B198" s="2" t="inlineStr">
        <is>
          <t>MIRROR CARCASS</t>
        </is>
      </c>
      <c r="C198" s="2" t="inlineStr">
        <is>
          <t>C</t>
        </is>
      </c>
      <c r="D198" s="2" t="inlineStr">
        <is>
          <t>200mm W x 920mm L x 1260mm H; to GF guest bathroom</t>
        </is>
      </c>
      <c r="E198" s="2" t="inlineStr">
        <is>
          <t>No</t>
        </is>
      </c>
      <c r="F198" s="2" t="n">
        <v>2</v>
      </c>
      <c r="G198" s="2" t="n">
        <v>2</v>
      </c>
      <c r="H198" s="2" t="n">
        <v>2</v>
      </c>
      <c r="I198" s="2" t="n">
        <v>2</v>
      </c>
      <c r="J198" s="2" t="n">
        <v>2</v>
      </c>
      <c r="K198" s="2" t="n">
        <v>2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12</v>
      </c>
      <c r="R198" s="2" t="n">
        <v>184</v>
      </c>
      <c r="S198" s="2" t="n"/>
      <c r="T198" s="2">
        <f>IF(OR(S198="",R198=0),"",ROUND(S198*R198,2))</f>
        <v/>
      </c>
      <c r="U198" s="2" t="inlineStr"/>
    </row>
    <row r="199">
      <c r="A199" s="2" t="inlineStr">
        <is>
          <t>F</t>
        </is>
      </c>
      <c r="B199" s="2" t="inlineStr">
        <is>
          <t>MIRROR CARCASS</t>
        </is>
      </c>
      <c r="C199" s="2" t="inlineStr">
        <is>
          <t>D</t>
        </is>
      </c>
      <c r="D199" s="2" t="inlineStr">
        <is>
          <t>200mmW x 900mmL x 1260mmH; to FF bathroom 1</t>
        </is>
      </c>
      <c r="E199" s="2" t="inlineStr">
        <is>
          <t>No</t>
        </is>
      </c>
      <c r="F199" s="2" t="n">
        <v>2</v>
      </c>
      <c r="G199" s="2" t="n">
        <v>2</v>
      </c>
      <c r="H199" s="2" t="n">
        <v>4</v>
      </c>
      <c r="I199" s="2" t="n">
        <v>4</v>
      </c>
      <c r="J199" s="2" t="n">
        <v>6</v>
      </c>
      <c r="K199" s="2" t="n">
        <v>6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24</v>
      </c>
      <c r="R199" s="2" t="n">
        <v>326</v>
      </c>
      <c r="S199" s="2" t="n"/>
      <c r="T199" s="2">
        <f>IF(OR(S199="",R199=0),"",ROUND(S199*R199,2))</f>
        <v/>
      </c>
      <c r="U199" s="2" t="inlineStr"/>
    </row>
    <row r="200">
      <c r="A200" s="2" t="inlineStr">
        <is>
          <t>F</t>
        </is>
      </c>
      <c r="B200" s="2" t="inlineStr">
        <is>
          <t>MIRROR CARCASS</t>
        </is>
      </c>
      <c r="C200" s="2" t="inlineStr">
        <is>
          <t>E</t>
        </is>
      </c>
      <c r="D200" s="2" t="inlineStr">
        <is>
          <t>200mmW x 900mmL x 1260mmH; to FF bathroom 2</t>
        </is>
      </c>
      <c r="E200" s="2" t="inlineStr">
        <is>
          <t>No</t>
        </is>
      </c>
      <c r="F200" s="2" t="n">
        <v>2</v>
      </c>
      <c r="G200" s="2" t="n">
        <v>2</v>
      </c>
      <c r="H200" s="2" t="n">
        <v>2</v>
      </c>
      <c r="I200" s="2" t="n">
        <v>2</v>
      </c>
      <c r="J200" s="2" t="n">
        <v>2</v>
      </c>
      <c r="K200" s="2" t="n">
        <v>2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12</v>
      </c>
      <c r="R200" s="2" t="n">
        <v>184</v>
      </c>
      <c r="S200" s="2" t="n"/>
      <c r="T200" s="2">
        <f>IF(OR(S200="",R200=0),"",ROUND(S200*R200,2))</f>
        <v/>
      </c>
      <c r="U200" s="2" t="inlineStr"/>
    </row>
    <row r="201">
      <c r="A201" s="2" t="inlineStr">
        <is>
          <t>F</t>
        </is>
      </c>
      <c r="B201" s="2" t="inlineStr">
        <is>
          <t>MIRROR CARCASS</t>
        </is>
      </c>
      <c r="C201" s="2" t="inlineStr">
        <is>
          <t>F</t>
        </is>
      </c>
      <c r="D201" s="2" t="inlineStr">
        <is>
          <t>200mmW x 870mmL x 1260mmH; to GF powder room</t>
        </is>
      </c>
      <c r="E201" s="2" t="inlineStr">
        <is>
          <t>No</t>
        </is>
      </c>
      <c r="F201" s="2" t="n">
        <v>2</v>
      </c>
      <c r="G201" s="2" t="n">
        <v>2</v>
      </c>
      <c r="H201" s="2" t="n">
        <v>4</v>
      </c>
      <c r="I201" s="2" t="n">
        <v>4</v>
      </c>
      <c r="J201" s="2" t="n">
        <v>6</v>
      </c>
      <c r="K201" s="2" t="n">
        <v>6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24</v>
      </c>
      <c r="R201" s="2" t="n">
        <v>326</v>
      </c>
      <c r="S201" s="2" t="n"/>
      <c r="T201" s="2">
        <f>IF(OR(S201="",R201=0),"",ROUND(S201*R201,2))</f>
        <v/>
      </c>
      <c r="U201" s="2" t="inlineStr"/>
    </row>
    <row r="202">
      <c r="A202" s="2" t="inlineStr">
        <is>
          <t>F</t>
        </is>
      </c>
      <c r="B202" s="2" t="inlineStr">
        <is>
          <t>MIRROR CARCASS</t>
        </is>
      </c>
      <c r="C202" s="2" t="inlineStr">
        <is>
          <t>G</t>
        </is>
      </c>
      <c r="D202" s="2" t="inlineStr">
        <is>
          <t>200mmW x 800mmL x 1260mmH; to FF master bathroom</t>
        </is>
      </c>
      <c r="E202" s="2" t="inlineStr">
        <is>
          <t>No</t>
        </is>
      </c>
      <c r="F202" s="2" t="n">
        <v>2</v>
      </c>
      <c r="G202" s="2" t="n">
        <v>2</v>
      </c>
      <c r="H202" s="2" t="n">
        <v>4</v>
      </c>
      <c r="I202" s="2" t="n">
        <v>4</v>
      </c>
      <c r="J202" s="2" t="n">
        <v>6</v>
      </c>
      <c r="K202" s="2" t="n">
        <v>6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24</v>
      </c>
      <c r="R202" s="2" t="n">
        <v>326</v>
      </c>
      <c r="S202" s="2" t="n"/>
      <c r="T202" s="2">
        <f>IF(OR(S202="",R202=0),"",ROUND(S202*R202,2))</f>
        <v/>
      </c>
      <c r="U202" s="2" t="inlineStr"/>
    </row>
    <row r="203">
      <c r="A203" s="2" t="inlineStr">
        <is>
          <t>F</t>
        </is>
      </c>
      <c r="B203" s="2" t="inlineStr">
        <is>
          <t>MIRROR CARCASS</t>
        </is>
      </c>
      <c r="C203" s="2" t="inlineStr">
        <is>
          <t>H</t>
        </is>
      </c>
      <c r="D203" s="2" t="inlineStr">
        <is>
          <t>200mm W  x 940mm L x 1260mm H; to Master Bathroom</t>
        </is>
      </c>
      <c r="E203" s="2" t="inlineStr">
        <is>
          <t>No</t>
        </is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2</v>
      </c>
      <c r="M203" s="2" t="n">
        <v>2</v>
      </c>
      <c r="N203" s="2" t="n">
        <v>0</v>
      </c>
      <c r="O203" s="2" t="n">
        <v>0</v>
      </c>
      <c r="P203" s="2" t="n">
        <v>0</v>
      </c>
      <c r="Q203" s="2" t="n">
        <v>4</v>
      </c>
      <c r="R203" s="2" t="n">
        <v>74</v>
      </c>
      <c r="S203" s="2" t="n"/>
      <c r="T203" s="2">
        <f>IF(OR(S203="",R203=0),"",ROUND(S203*R203,2))</f>
        <v/>
      </c>
      <c r="U203" s="2" t="inlineStr"/>
    </row>
    <row r="204">
      <c r="A204" s="2" t="inlineStr">
        <is>
          <t>F</t>
        </is>
      </c>
      <c r="B204" s="2" t="inlineStr">
        <is>
          <t>MIRROR CARCASS</t>
        </is>
      </c>
      <c r="C204" s="2" t="inlineStr">
        <is>
          <t>J</t>
        </is>
      </c>
      <c r="D204" s="2" t="inlineStr">
        <is>
          <t>200mm W  x 870mm L x 1260mm H; to Powder Room</t>
        </is>
      </c>
      <c r="E204" s="2" t="inlineStr">
        <is>
          <t>No</t>
        </is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1</v>
      </c>
      <c r="M204" s="2" t="n">
        <v>1</v>
      </c>
      <c r="N204" s="2" t="n">
        <v>0</v>
      </c>
      <c r="O204" s="2" t="n">
        <v>0</v>
      </c>
      <c r="P204" s="2" t="n">
        <v>0</v>
      </c>
      <c r="Q204" s="2" t="n">
        <v>2</v>
      </c>
      <c r="R204" s="2" t="n">
        <v>37</v>
      </c>
      <c r="S204" s="2" t="n"/>
      <c r="T204" s="2">
        <f>IF(OR(S204="",R204=0),"",ROUND(S204*R204,2))</f>
        <v/>
      </c>
      <c r="U204" s="2" t="inlineStr"/>
    </row>
    <row r="205">
      <c r="A205" s="2" t="inlineStr">
        <is>
          <t>F</t>
        </is>
      </c>
      <c r="B205" s="2" t="inlineStr">
        <is>
          <t>MIRROR CARCASS</t>
        </is>
      </c>
      <c r="C205" s="2" t="inlineStr">
        <is>
          <t>K</t>
        </is>
      </c>
      <c r="D205" s="2" t="inlineStr">
        <is>
          <t>200mm W  x 1340mm L x 1260mm H; to Guest Room</t>
        </is>
      </c>
      <c r="E205" s="2" t="inlineStr">
        <is>
          <t>No</t>
        </is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1</v>
      </c>
      <c r="M205" s="2" t="n">
        <v>1</v>
      </c>
      <c r="N205" s="2" t="n">
        <v>0</v>
      </c>
      <c r="O205" s="2" t="n">
        <v>0</v>
      </c>
      <c r="P205" s="2" t="n">
        <v>0</v>
      </c>
      <c r="Q205" s="2" t="n">
        <v>2</v>
      </c>
      <c r="R205" s="2" t="n">
        <v>37</v>
      </c>
      <c r="S205" s="2" t="n"/>
      <c r="T205" s="2">
        <f>IF(OR(S205="",R205=0),"",ROUND(S205*R205,2))</f>
        <v/>
      </c>
      <c r="U205" s="2" t="inlineStr"/>
    </row>
    <row r="206">
      <c r="A206" s="2" t="inlineStr">
        <is>
          <t>F</t>
        </is>
      </c>
      <c r="B206" s="2" t="inlineStr">
        <is>
          <t>MIRROR CARCASS</t>
        </is>
      </c>
      <c r="C206" s="2" t="inlineStr">
        <is>
          <t>L</t>
        </is>
      </c>
      <c r="D206" s="2" t="inlineStr">
        <is>
          <t>200mm W  x 1210mm L x 1260mm H; to Bathroom 1</t>
        </is>
      </c>
      <c r="E206" s="2" t="inlineStr">
        <is>
          <t>No</t>
        </is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1</v>
      </c>
      <c r="M206" s="2" t="n">
        <v>1</v>
      </c>
      <c r="N206" s="2" t="n">
        <v>0</v>
      </c>
      <c r="O206" s="2" t="n">
        <v>0</v>
      </c>
      <c r="P206" s="2" t="n">
        <v>0</v>
      </c>
      <c r="Q206" s="2" t="n">
        <v>2</v>
      </c>
      <c r="R206" s="2" t="n">
        <v>37</v>
      </c>
      <c r="S206" s="2" t="n"/>
      <c r="T206" s="2">
        <f>IF(OR(S206="",R206=0),"",ROUND(S206*R206,2))</f>
        <v/>
      </c>
      <c r="U206" s="2" t="inlineStr"/>
    </row>
    <row r="207">
      <c r="A207" s="2" t="inlineStr">
        <is>
          <t>F</t>
        </is>
      </c>
      <c r="B207" s="2" t="inlineStr">
        <is>
          <t>MIRROR CARCASS</t>
        </is>
      </c>
      <c r="C207" s="2" t="inlineStr">
        <is>
          <t>M</t>
        </is>
      </c>
      <c r="D207" s="2" t="inlineStr">
        <is>
          <t>200mm W  x 1170mm L x 1260mm H; to Bathroom 2</t>
        </is>
      </c>
      <c r="E207" s="2" t="inlineStr">
        <is>
          <t>No</t>
        </is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1</v>
      </c>
      <c r="M207" s="2" t="n">
        <v>1</v>
      </c>
      <c r="N207" s="2" t="n">
        <v>0</v>
      </c>
      <c r="O207" s="2" t="n">
        <v>0</v>
      </c>
      <c r="P207" s="2" t="n">
        <v>0</v>
      </c>
      <c r="Q207" s="2" t="n">
        <v>2</v>
      </c>
      <c r="R207" s="2" t="n">
        <v>37</v>
      </c>
      <c r="S207" s="2" t="n"/>
      <c r="T207" s="2">
        <f>IF(OR(S207="",R207=0),"",ROUND(S207*R207,2))</f>
        <v/>
      </c>
      <c r="U207" s="2" t="inlineStr"/>
    </row>
    <row r="208">
      <c r="A208" s="2" t="inlineStr">
        <is>
          <t>F</t>
        </is>
      </c>
      <c r="B208" s="2" t="inlineStr">
        <is>
          <t>MIRROR CARCASS</t>
        </is>
      </c>
      <c r="C208" s="2" t="inlineStr">
        <is>
          <t>N</t>
        </is>
      </c>
      <c r="D208" s="2" t="inlineStr">
        <is>
          <t>200mm W  x 720mm L x 1260mm H; to Bathroom 3</t>
        </is>
      </c>
      <c r="E208" s="2" t="inlineStr">
        <is>
          <t>No</t>
        </is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1</v>
      </c>
      <c r="M208" s="2" t="n">
        <v>1</v>
      </c>
      <c r="N208" s="2" t="n">
        <v>0</v>
      </c>
      <c r="O208" s="2" t="n">
        <v>0</v>
      </c>
      <c r="P208" s="2" t="n">
        <v>0</v>
      </c>
      <c r="Q208" s="2" t="n">
        <v>2</v>
      </c>
      <c r="R208" s="2" t="n">
        <v>37</v>
      </c>
      <c r="S208" s="2" t="n"/>
      <c r="T208" s="2">
        <f>IF(OR(S208="",R208=0),"",ROUND(S208*R208,2))</f>
        <v/>
      </c>
      <c r="U208" s="2" t="inlineStr"/>
    </row>
    <row r="209">
      <c r="A209" s="2" t="inlineStr">
        <is>
          <t>F</t>
        </is>
      </c>
      <c r="B209" s="2" t="inlineStr">
        <is>
          <t>WARDROBES</t>
        </is>
      </c>
      <c r="C209" s="2" t="inlineStr">
        <is>
          <t>A</t>
        </is>
      </c>
      <c r="D209" s="2" t="inlineStr">
        <is>
          <t>L-shaped 625mm W x 1970mm L x  2600mm H &amp; 620mm W x 1020mm L x  2600mm H; to FF master bedroom</t>
        </is>
      </c>
      <c r="E209" s="2" t="inlineStr">
        <is>
          <t>No</t>
        </is>
      </c>
      <c r="F209" s="2" t="n">
        <v>2</v>
      </c>
      <c r="G209" s="2" t="n">
        <v>2</v>
      </c>
      <c r="H209" s="2" t="n">
        <v>2</v>
      </c>
      <c r="I209" s="2" t="n">
        <v>2</v>
      </c>
      <c r="J209" s="2" t="n">
        <v>2</v>
      </c>
      <c r="K209" s="2" t="n">
        <v>2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12</v>
      </c>
      <c r="R209" s="2" t="n">
        <v>184</v>
      </c>
      <c r="S209" s="2" t="n"/>
      <c r="T209" s="2">
        <f>IF(OR(S209="",R209=0),"",ROUND(S209*R209,2))</f>
        <v/>
      </c>
      <c r="U209" s="2" t="inlineStr"/>
    </row>
    <row r="210">
      <c r="A210" s="2" t="inlineStr">
        <is>
          <t>F</t>
        </is>
      </c>
      <c r="B210" s="2" t="inlineStr">
        <is>
          <t>WARDROBES</t>
        </is>
      </c>
      <c r="C210" s="2" t="inlineStr">
        <is>
          <t>A</t>
        </is>
      </c>
      <c r="D210" s="2" t="inlineStr">
        <is>
          <t>Base unit, size 4440mm L x 610mm W x 900mm H, as per drawing No. IDN-0130-00</t>
        </is>
      </c>
      <c r="E210" s="2" t="inlineStr">
        <is>
          <t>No</t>
        </is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1</v>
      </c>
      <c r="O210" s="2" t="n">
        <v>0</v>
      </c>
      <c r="P210" s="2" t="n">
        <v>0</v>
      </c>
      <c r="Q210" s="2" t="n">
        <v>1</v>
      </c>
      <c r="R210" s="2" t="n">
        <v>1</v>
      </c>
      <c r="S210" s="2" t="n"/>
      <c r="T210" s="2">
        <f>IF(OR(S210="",R210=0),"",ROUND(S210*R210,2))</f>
        <v/>
      </c>
      <c r="U210" s="2" t="inlineStr"/>
    </row>
    <row r="211">
      <c r="A211" s="2" t="inlineStr">
        <is>
          <t>F</t>
        </is>
      </c>
      <c r="B211" s="2" t="inlineStr">
        <is>
          <t>WARDROBES</t>
        </is>
      </c>
      <c r="C211" s="2" t="inlineStr">
        <is>
          <t>B</t>
        </is>
      </c>
      <c r="D211" s="2" t="inlineStr">
        <is>
          <t>625mmW x 3354mmL x 3180mmH;, to F.F MBR</t>
        </is>
      </c>
      <c r="E211" s="2" t="inlineStr">
        <is>
          <t>No</t>
        </is>
      </c>
      <c r="F211" s="2" t="n">
        <v>2</v>
      </c>
      <c r="G211" s="2" t="n">
        <v>2</v>
      </c>
      <c r="H211" s="2" t="n">
        <v>4</v>
      </c>
      <c r="I211" s="2" t="n">
        <v>4</v>
      </c>
      <c r="J211" s="2" t="n">
        <v>6</v>
      </c>
      <c r="K211" s="2" t="n">
        <v>6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24</v>
      </c>
      <c r="R211" s="2" t="n">
        <v>326</v>
      </c>
      <c r="S211" s="2" t="n"/>
      <c r="T211" s="2">
        <f>IF(OR(S211="",R211=0),"",ROUND(S211*R211,2))</f>
        <v/>
      </c>
      <c r="U211" s="2" t="inlineStr"/>
    </row>
    <row r="212">
      <c r="A212" s="2" t="inlineStr">
        <is>
          <t>F</t>
        </is>
      </c>
      <c r="B212" s="2" t="inlineStr">
        <is>
          <t>WARDROBES</t>
        </is>
      </c>
      <c r="C212" s="2" t="inlineStr">
        <is>
          <t>B</t>
        </is>
      </c>
      <c r="D212" s="2" t="inlineStr">
        <is>
          <t>Changing Room locker, overall size 2750mm L x 410mm W x 2700mm H, as per drawing No. IDN-0177-00</t>
        </is>
      </c>
      <c r="E212" s="2" t="inlineStr">
        <is>
          <t>No</t>
        </is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2</v>
      </c>
      <c r="O212" s="2" t="n">
        <v>0</v>
      </c>
      <c r="P212" s="2" t="n">
        <v>0</v>
      </c>
      <c r="Q212" s="2" t="n">
        <v>2</v>
      </c>
      <c r="R212" s="2" t="n">
        <v>2</v>
      </c>
      <c r="S212" s="2" t="n"/>
      <c r="T212" s="2">
        <f>IF(OR(S212="",R212=0),"",ROUND(S212*R212,2))</f>
        <v/>
      </c>
      <c r="U212" s="2" t="inlineStr"/>
    </row>
    <row r="213">
      <c r="A213" s="2" t="inlineStr">
        <is>
          <t>F</t>
        </is>
      </c>
      <c r="B213" s="2" t="inlineStr">
        <is>
          <t>WARDROBES</t>
        </is>
      </c>
      <c r="C213" s="2" t="inlineStr">
        <is>
          <t>C</t>
        </is>
      </c>
      <c r="D213" s="2" t="inlineStr">
        <is>
          <t>625mm W x 1970mm L x 3180mm H; to FF bedroom 1</t>
        </is>
      </c>
      <c r="E213" s="2" t="inlineStr">
        <is>
          <t>No</t>
        </is>
      </c>
      <c r="F213" s="2" t="n">
        <v>2</v>
      </c>
      <c r="G213" s="2" t="n">
        <v>2</v>
      </c>
      <c r="H213" s="2" t="n">
        <v>2</v>
      </c>
      <c r="I213" s="2" t="n">
        <v>2</v>
      </c>
      <c r="J213" s="2" t="n">
        <v>2</v>
      </c>
      <c r="K213" s="2" t="n">
        <v>2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12</v>
      </c>
      <c r="R213" s="2" t="n">
        <v>184</v>
      </c>
      <c r="S213" s="2" t="n"/>
      <c r="T213" s="2">
        <f>IF(OR(S213="",R213=0),"",ROUND(S213*R213,2))</f>
        <v/>
      </c>
      <c r="U213" s="2" t="inlineStr"/>
    </row>
    <row r="214">
      <c r="A214" s="2" t="inlineStr">
        <is>
          <t>F</t>
        </is>
      </c>
      <c r="B214" s="2" t="inlineStr">
        <is>
          <t>WARDROBES</t>
        </is>
      </c>
      <c r="C214" s="2" t="inlineStr">
        <is>
          <t>C</t>
        </is>
      </c>
      <c r="D214" s="2" t="inlineStr">
        <is>
          <t>Meeting table, including planter pot, overall size 3000mm L x 600mm W x 1250mm H, as per drawing No. IDN-0138-00</t>
        </is>
      </c>
      <c r="E214" s="2" t="inlineStr">
        <is>
          <t>No</t>
        </is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1</v>
      </c>
      <c r="O214" s="2" t="n">
        <v>0</v>
      </c>
      <c r="P214" s="2" t="n">
        <v>0</v>
      </c>
      <c r="Q214" s="2" t="n">
        <v>1</v>
      </c>
      <c r="R214" s="2" t="n">
        <v>1</v>
      </c>
      <c r="S214" s="2" t="n"/>
      <c r="T214" s="2">
        <f>IF(OR(S214="",R214=0),"",ROUND(S214*R214,2))</f>
        <v/>
      </c>
      <c r="U214" s="2" t="inlineStr"/>
    </row>
    <row r="215">
      <c r="A215" s="2" t="inlineStr">
        <is>
          <t>F</t>
        </is>
      </c>
      <c r="B215" s="2" t="inlineStr">
        <is>
          <t>WARDROBES</t>
        </is>
      </c>
      <c r="C215" s="2" t="inlineStr">
        <is>
          <t>D</t>
        </is>
      </c>
      <c r="D215" s="2" t="inlineStr">
        <is>
          <t>625mm W x 1970mm L x 3180mm H; to FF bedroom 2</t>
        </is>
      </c>
      <c r="E215" s="2" t="inlineStr">
        <is>
          <t>No</t>
        </is>
      </c>
      <c r="F215" s="2" t="n">
        <v>2</v>
      </c>
      <c r="G215" s="2" t="n">
        <v>2</v>
      </c>
      <c r="H215" s="2" t="n">
        <v>2</v>
      </c>
      <c r="I215" s="2" t="n">
        <v>2</v>
      </c>
      <c r="J215" s="2" t="n">
        <v>2</v>
      </c>
      <c r="K215" s="2" t="n">
        <v>2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12</v>
      </c>
      <c r="R215" s="2" t="n">
        <v>184</v>
      </c>
      <c r="S215" s="2" t="n"/>
      <c r="T215" s="2">
        <f>IF(OR(S215="",R215=0),"",ROUND(S215*R215,2))</f>
        <v/>
      </c>
      <c r="U215" s="2" t="inlineStr"/>
    </row>
    <row r="216">
      <c r="A216" s="2" t="inlineStr">
        <is>
          <t>F</t>
        </is>
      </c>
      <c r="B216" s="2" t="inlineStr">
        <is>
          <t>WARDROBES</t>
        </is>
      </c>
      <c r="C216" s="2" t="inlineStr">
        <is>
          <t>D</t>
        </is>
      </c>
      <c r="D216" s="2" t="inlineStr">
        <is>
          <t>Meeting table, including planter pot, overall size 4000mm L x 1200mm W x 950mm H, as per drawing No. IDN-0137-00</t>
        </is>
      </c>
      <c r="E216" s="2" t="inlineStr">
        <is>
          <t>No</t>
        </is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1</v>
      </c>
      <c r="O216" s="2" t="n">
        <v>0</v>
      </c>
      <c r="P216" s="2" t="n">
        <v>0</v>
      </c>
      <c r="Q216" s="2" t="n">
        <v>1</v>
      </c>
      <c r="R216" s="2" t="n">
        <v>1</v>
      </c>
      <c r="S216" s="2" t="n"/>
      <c r="T216" s="2">
        <f>IF(OR(S216="",R216=0),"",ROUND(S216*R216,2))</f>
        <v/>
      </c>
      <c r="U216" s="2" t="inlineStr"/>
    </row>
    <row r="217">
      <c r="A217" s="2" t="inlineStr">
        <is>
          <t>F</t>
        </is>
      </c>
      <c r="B217" s="2" t="inlineStr">
        <is>
          <t>WARDROBES</t>
        </is>
      </c>
      <c r="C217" s="2" t="inlineStr">
        <is>
          <t>E</t>
        </is>
      </c>
      <c r="D217" s="2" t="inlineStr">
        <is>
          <t>625mmW x 1930mmL x 3180mmH; to F.F BR2</t>
        </is>
      </c>
      <c r="E217" s="2" t="inlineStr">
        <is>
          <t>No</t>
        </is>
      </c>
      <c r="F217" s="2" t="n">
        <v>2</v>
      </c>
      <c r="G217" s="2" t="n">
        <v>2</v>
      </c>
      <c r="H217" s="2" t="n">
        <v>4</v>
      </c>
      <c r="I217" s="2" t="n">
        <v>4</v>
      </c>
      <c r="J217" s="2" t="n">
        <v>6</v>
      </c>
      <c r="K217" s="2" t="n">
        <v>6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24</v>
      </c>
      <c r="R217" s="2" t="n">
        <v>326</v>
      </c>
      <c r="S217" s="2" t="n"/>
      <c r="T217" s="2">
        <f>IF(OR(S217="",R217=0),"",ROUND(S217*R217,2))</f>
        <v/>
      </c>
      <c r="U217" s="2" t="inlineStr"/>
    </row>
    <row r="218">
      <c r="A218" s="2" t="inlineStr">
        <is>
          <t>F</t>
        </is>
      </c>
      <c r="B218" s="2" t="inlineStr">
        <is>
          <t>WARDROBES</t>
        </is>
      </c>
      <c r="C218" s="2" t="inlineStr">
        <is>
          <t>E</t>
        </is>
      </c>
      <c r="D218" s="2" t="inlineStr">
        <is>
          <t>Shelves, overall size 3635mm L x 450mm W x 3400mm H, as per detail 1 drawing No. 0110</t>
        </is>
      </c>
      <c r="E218" s="2" t="inlineStr">
        <is>
          <t>No</t>
        </is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4</v>
      </c>
      <c r="O218" s="2" t="n">
        <v>0</v>
      </c>
      <c r="P218" s="2" t="n">
        <v>0</v>
      </c>
      <c r="Q218" s="2" t="n">
        <v>4</v>
      </c>
      <c r="R218" s="2" t="n">
        <v>4</v>
      </c>
      <c r="S218" s="2" t="n"/>
      <c r="T218" s="2">
        <f>IF(OR(S218="",R218=0),"",ROUND(S218*R218,2))</f>
        <v/>
      </c>
      <c r="U218" s="2" t="inlineStr"/>
    </row>
    <row r="219">
      <c r="A219" s="2" t="inlineStr">
        <is>
          <t>F</t>
        </is>
      </c>
      <c r="B219" s="2" t="inlineStr">
        <is>
          <t>WARDROBES</t>
        </is>
      </c>
      <c r="C219" s="2" t="inlineStr">
        <is>
          <t>F</t>
        </is>
      </c>
      <c r="D219" s="2" t="inlineStr">
        <is>
          <t>625mmW x 1670mmL x 3180mmH; to F.F BR1</t>
        </is>
      </c>
      <c r="E219" s="2" t="inlineStr">
        <is>
          <t>No</t>
        </is>
      </c>
      <c r="F219" s="2" t="n">
        <v>2</v>
      </c>
      <c r="G219" s="2" t="n">
        <v>2</v>
      </c>
      <c r="H219" s="2" t="n">
        <v>4</v>
      </c>
      <c r="I219" s="2" t="n">
        <v>4</v>
      </c>
      <c r="J219" s="2" t="n">
        <v>6</v>
      </c>
      <c r="K219" s="2" t="n">
        <v>6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24</v>
      </c>
      <c r="R219" s="2" t="n">
        <v>326</v>
      </c>
      <c r="S219" s="2" t="n"/>
      <c r="T219" s="2">
        <f>IF(OR(S219="",R219=0),"",ROUND(S219*R219,2))</f>
        <v/>
      </c>
      <c r="U219" s="2" t="inlineStr"/>
    </row>
    <row r="220">
      <c r="A220" s="2" t="inlineStr">
        <is>
          <t>F</t>
        </is>
      </c>
      <c r="B220" s="2" t="inlineStr">
        <is>
          <t>WARDROBES</t>
        </is>
      </c>
      <c r="C220" s="2" t="inlineStr">
        <is>
          <t>F</t>
        </is>
      </c>
      <c r="D220" s="2" t="inlineStr">
        <is>
          <t>TV unit, overall size 3120mm L x 450mm W x 3200mm H, as per drawing No. IDN-0135-00</t>
        </is>
      </c>
      <c r="E220" s="2" t="inlineStr">
        <is>
          <t>No</t>
        </is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1</v>
      </c>
      <c r="O220" s="2" t="n">
        <v>0</v>
      </c>
      <c r="P220" s="2" t="n">
        <v>0</v>
      </c>
      <c r="Q220" s="2" t="n">
        <v>1</v>
      </c>
      <c r="R220" s="2" t="n">
        <v>1</v>
      </c>
      <c r="S220" s="2" t="n"/>
      <c r="T220" s="2">
        <f>IF(OR(S220="",R220=0),"",ROUND(S220*R220,2))</f>
        <v/>
      </c>
      <c r="U220" s="2" t="inlineStr"/>
    </row>
    <row r="221">
      <c r="A221" s="2" t="inlineStr">
        <is>
          <t>F</t>
        </is>
      </c>
      <c r="B221" s="2" t="inlineStr">
        <is>
          <t>WARDROBES</t>
        </is>
      </c>
      <c r="C221" s="2" t="inlineStr">
        <is>
          <t>G</t>
        </is>
      </c>
      <c r="D221" s="2" t="inlineStr">
        <is>
          <t>625mm W x 1570mm L x 2700mm H; to GF guest room</t>
        </is>
      </c>
      <c r="E221" s="2" t="inlineStr">
        <is>
          <t>No</t>
        </is>
      </c>
      <c r="F221" s="2" t="n">
        <v>2</v>
      </c>
      <c r="G221" s="2" t="n">
        <v>2</v>
      </c>
      <c r="H221" s="2" t="n">
        <v>2</v>
      </c>
      <c r="I221" s="2" t="n">
        <v>2</v>
      </c>
      <c r="J221" s="2" t="n">
        <v>2</v>
      </c>
      <c r="K221" s="2" t="n">
        <v>2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12</v>
      </c>
      <c r="R221" s="2" t="n">
        <v>184</v>
      </c>
      <c r="S221" s="2" t="n"/>
      <c r="T221" s="2">
        <f>IF(OR(S221="",R221=0),"",ROUND(S221*R221,2))</f>
        <v/>
      </c>
      <c r="U221" s="2" t="inlineStr"/>
    </row>
    <row r="222">
      <c r="A222" s="2" t="inlineStr">
        <is>
          <t>F</t>
        </is>
      </c>
      <c r="B222" s="2" t="inlineStr">
        <is>
          <t>WARDROBES</t>
        </is>
      </c>
      <c r="C222" s="2" t="inlineStr">
        <is>
          <t>G</t>
        </is>
      </c>
      <c r="D222" s="2" t="inlineStr">
        <is>
          <t>Upper unit, size 4440mm L x 610mm W x 2100mm H, as per drawing No. IDN-0130-00</t>
        </is>
      </c>
      <c r="E222" s="2" t="inlineStr">
        <is>
          <t>No</t>
        </is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1</v>
      </c>
      <c r="O222" s="2" t="n">
        <v>0</v>
      </c>
      <c r="P222" s="2" t="n">
        <v>0</v>
      </c>
      <c r="Q222" s="2" t="n">
        <v>1</v>
      </c>
      <c r="R222" s="2" t="n">
        <v>1</v>
      </c>
      <c r="S222" s="2" t="n"/>
      <c r="T222" s="2">
        <f>IF(OR(S222="",R222=0),"",ROUND(S222*R222,2))</f>
        <v/>
      </c>
      <c r="U222" s="2" t="inlineStr"/>
    </row>
    <row r="223">
      <c r="A223" s="2" t="inlineStr">
        <is>
          <t>F</t>
        </is>
      </c>
      <c r="B223" s="2" t="inlineStr">
        <is>
          <t>WARDROBES</t>
        </is>
      </c>
      <c r="C223" s="2" t="inlineStr">
        <is>
          <t>H</t>
        </is>
      </c>
      <c r="D223" s="2" t="inlineStr">
        <is>
          <t>625mm W x 1370mm L x 2700mm H; to Utility Room</t>
        </is>
      </c>
      <c r="E223" s="2" t="inlineStr">
        <is>
          <t>No</t>
        </is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1</v>
      </c>
      <c r="M223" s="2" t="n">
        <v>1</v>
      </c>
      <c r="N223" s="2" t="n">
        <v>0</v>
      </c>
      <c r="O223" s="2" t="n">
        <v>0</v>
      </c>
      <c r="P223" s="2" t="n">
        <v>0</v>
      </c>
      <c r="Q223" s="2" t="n">
        <v>2</v>
      </c>
      <c r="R223" s="2" t="n">
        <v>37</v>
      </c>
      <c r="S223" s="2" t="n"/>
      <c r="T223" s="2">
        <f>IF(OR(S223="",R223=0),"",ROUND(S223*R223,2))</f>
        <v/>
      </c>
      <c r="U223" s="2" t="inlineStr"/>
    </row>
    <row r="224">
      <c r="A224" s="2" t="inlineStr">
        <is>
          <t>F</t>
        </is>
      </c>
      <c r="B224" s="2" t="inlineStr">
        <is>
          <t>WARDROBES</t>
        </is>
      </c>
      <c r="C224" s="2" t="inlineStr">
        <is>
          <t>H</t>
        </is>
      </c>
      <c r="D224" s="2" t="inlineStr">
        <is>
          <t>Wall shelves, overall size 2380mm L x 310mm W x 3200mm H, as per drawing No. IDN-0133-00</t>
        </is>
      </c>
      <c r="E224" s="2" t="inlineStr">
        <is>
          <t>No</t>
        </is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1</v>
      </c>
      <c r="O224" s="2" t="n">
        <v>0</v>
      </c>
      <c r="P224" s="2" t="n">
        <v>0</v>
      </c>
      <c r="Q224" s="2" t="n">
        <v>1</v>
      </c>
      <c r="R224" s="2" t="n">
        <v>1</v>
      </c>
      <c r="S224" s="2" t="n"/>
      <c r="T224" s="2">
        <f>IF(OR(S224="",R224=0),"",ROUND(S224*R224,2))</f>
        <v/>
      </c>
      <c r="U224" s="2" t="inlineStr"/>
    </row>
    <row r="225">
      <c r="A225" s="2" t="inlineStr">
        <is>
          <t>F</t>
        </is>
      </c>
      <c r="B225" s="2" t="inlineStr">
        <is>
          <t>WARDROBES</t>
        </is>
      </c>
      <c r="C225" s="2" t="inlineStr">
        <is>
          <t>J</t>
        </is>
      </c>
      <c r="D225" s="2" t="inlineStr">
        <is>
          <t>625mm W x 2220mm L x 2700mm H; to Guest Bedroom</t>
        </is>
      </c>
      <c r="E225" s="2" t="inlineStr">
        <is>
          <t>No</t>
        </is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1</v>
      </c>
      <c r="M225" s="2" t="n">
        <v>1</v>
      </c>
      <c r="N225" s="2" t="n">
        <v>0</v>
      </c>
      <c r="O225" s="2" t="n">
        <v>0</v>
      </c>
      <c r="P225" s="2" t="n">
        <v>0</v>
      </c>
      <c r="Q225" s="2" t="n">
        <v>2</v>
      </c>
      <c r="R225" s="2" t="n">
        <v>37</v>
      </c>
      <c r="S225" s="2" t="n"/>
      <c r="T225" s="2">
        <f>IF(OR(S225="",R225=0),"",ROUND(S225*R225,2))</f>
        <v/>
      </c>
      <c r="U225" s="2" t="inlineStr"/>
    </row>
    <row r="226">
      <c r="A226" s="2" t="inlineStr">
        <is>
          <t>F</t>
        </is>
      </c>
      <c r="B226" s="2" t="inlineStr">
        <is>
          <t>WARDROBES</t>
        </is>
      </c>
      <c r="C226" s="2" t="inlineStr">
        <is>
          <t>J</t>
        </is>
      </c>
      <c r="D226" s="2" t="inlineStr">
        <is>
          <t>WD-103, Wall Mounted Solid Wood Handrail</t>
        </is>
      </c>
      <c r="E226" s="2" t="inlineStr">
        <is>
          <t>m</t>
        </is>
      </c>
      <c r="F226" s="2" t="n">
        <v>34</v>
      </c>
      <c r="G226" s="2" t="n">
        <v>34</v>
      </c>
      <c r="H226" s="2" t="n">
        <v>54</v>
      </c>
      <c r="I226" s="2" t="n">
        <v>54</v>
      </c>
      <c r="J226" s="2" t="n">
        <v>75</v>
      </c>
      <c r="K226" s="2" t="n">
        <v>75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326</v>
      </c>
      <c r="R226" s="2" t="n">
        <v>4564</v>
      </c>
      <c r="S226" s="2" t="n"/>
      <c r="T226" s="2">
        <f>IF(OR(S226="",R226=0),"",ROUND(S226*R226,2))</f>
        <v/>
      </c>
      <c r="U226" s="2" t="inlineStr"/>
    </row>
    <row r="227">
      <c r="A227" s="2" t="inlineStr">
        <is>
          <t>F</t>
        </is>
      </c>
      <c r="B227" s="2" t="inlineStr">
        <is>
          <t>WARDROBES</t>
        </is>
      </c>
      <c r="C227" s="2" t="inlineStr">
        <is>
          <t>K</t>
        </is>
      </c>
      <c r="D227" s="2" t="inlineStr">
        <is>
          <t>L-shaped 625mm W x (1720mm L +  2745mm L) x 2700mm H; to Master Bedroom</t>
        </is>
      </c>
      <c r="E227" s="2" t="inlineStr">
        <is>
          <t>No</t>
        </is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1</v>
      </c>
      <c r="M227" s="2" t="n">
        <v>1</v>
      </c>
      <c r="N227" s="2" t="n">
        <v>0</v>
      </c>
      <c r="O227" s="2" t="n">
        <v>0</v>
      </c>
      <c r="P227" s="2" t="n">
        <v>0</v>
      </c>
      <c r="Q227" s="2" t="n">
        <v>2</v>
      </c>
      <c r="R227" s="2" t="n">
        <v>37</v>
      </c>
      <c r="S227" s="2" t="n"/>
      <c r="T227" s="2">
        <f>IF(OR(S227="",R227=0),"",ROUND(S227*R227,2))</f>
        <v/>
      </c>
      <c r="U227" s="2" t="inlineStr"/>
    </row>
    <row r="228">
      <c r="A228" s="2" t="inlineStr">
        <is>
          <t>F</t>
        </is>
      </c>
      <c r="B228" s="2" t="inlineStr">
        <is>
          <t>WARDROBES</t>
        </is>
      </c>
      <c r="C228" s="2" t="inlineStr">
        <is>
          <t>K</t>
        </is>
      </c>
      <c r="D228" s="2" t="inlineStr">
        <is>
          <t>WD-106, Wall Mounted Solid Wood Handrail</t>
        </is>
      </c>
      <c r="E228" s="2" t="inlineStr">
        <is>
          <t>m</t>
        </is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17</v>
      </c>
      <c r="M228" s="2" t="n">
        <v>17</v>
      </c>
      <c r="N228" s="2" t="n">
        <v>0</v>
      </c>
      <c r="O228" s="2" t="n">
        <v>0</v>
      </c>
      <c r="P228" s="2" t="n">
        <v>0</v>
      </c>
      <c r="Q228" s="2" t="n">
        <v>34</v>
      </c>
      <c r="R228" s="2" t="n">
        <v>629</v>
      </c>
      <c r="S228" s="2" t="n"/>
      <c r="T228" s="2">
        <f>IF(OR(S228="",R228=0),"",ROUND(S228*R228,2))</f>
        <v/>
      </c>
      <c r="U228" s="2" t="inlineStr"/>
    </row>
    <row r="229">
      <c r="A229" s="2" t="inlineStr">
        <is>
          <t>F</t>
        </is>
      </c>
      <c r="B229" s="2" t="inlineStr">
        <is>
          <t>WARDROBES</t>
        </is>
      </c>
      <c r="C229" s="2" t="inlineStr">
        <is>
          <t>L</t>
        </is>
      </c>
      <c r="D229" s="2" t="inlineStr">
        <is>
          <t>625mm W x 1200mm L x 2600mm H; to Bedroom 1</t>
        </is>
      </c>
      <c r="E229" s="2" t="inlineStr">
        <is>
          <t>No</t>
        </is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1</v>
      </c>
      <c r="M229" s="2" t="n">
        <v>1</v>
      </c>
      <c r="N229" s="2" t="n">
        <v>0</v>
      </c>
      <c r="O229" s="2" t="n">
        <v>0</v>
      </c>
      <c r="P229" s="2" t="n">
        <v>0</v>
      </c>
      <c r="Q229" s="2" t="n">
        <v>2</v>
      </c>
      <c r="R229" s="2" t="n">
        <v>37</v>
      </c>
      <c r="S229" s="2" t="n"/>
      <c r="T229" s="2">
        <f>IF(OR(S229="",R229=0),"",ROUND(S229*R229,2))</f>
        <v/>
      </c>
      <c r="U229" s="2" t="inlineStr"/>
    </row>
    <row r="230">
      <c r="A230" s="2" t="inlineStr">
        <is>
          <t>F</t>
        </is>
      </c>
      <c r="B230" s="2" t="inlineStr">
        <is>
          <t>WARDROBES</t>
        </is>
      </c>
      <c r="C230" s="2" t="inlineStr">
        <is>
          <t>M</t>
        </is>
      </c>
      <c r="D230" s="2" t="inlineStr">
        <is>
          <t>600mm W x 820mm L x 2600mm H; to Bedroom 1</t>
        </is>
      </c>
      <c r="E230" s="2" t="inlineStr">
        <is>
          <t>No</t>
        </is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1</v>
      </c>
      <c r="M230" s="2" t="n">
        <v>1</v>
      </c>
      <c r="N230" s="2" t="n">
        <v>0</v>
      </c>
      <c r="O230" s="2" t="n">
        <v>0</v>
      </c>
      <c r="P230" s="2" t="n">
        <v>0</v>
      </c>
      <c r="Q230" s="2" t="n">
        <v>2</v>
      </c>
      <c r="R230" s="2" t="n">
        <v>37</v>
      </c>
      <c r="S230" s="2" t="n"/>
      <c r="T230" s="2">
        <f>IF(OR(S230="",R230=0),"",ROUND(S230*R230,2))</f>
        <v/>
      </c>
      <c r="U230" s="2" t="inlineStr"/>
    </row>
    <row r="231">
      <c r="A231" s="2" t="inlineStr">
        <is>
          <t>F</t>
        </is>
      </c>
      <c r="B231" s="2" t="inlineStr">
        <is>
          <t>WARDROBES</t>
        </is>
      </c>
      <c r="C231" s="2" t="inlineStr">
        <is>
          <t>N</t>
        </is>
      </c>
      <c r="D231" s="2" t="inlineStr">
        <is>
          <t>625mm W x 2070mm L x 2600mm H; to Bedroom 2</t>
        </is>
      </c>
      <c r="E231" s="2" t="inlineStr">
        <is>
          <t>No</t>
        </is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1</v>
      </c>
      <c r="M231" s="2" t="n">
        <v>1</v>
      </c>
      <c r="N231" s="2" t="n">
        <v>0</v>
      </c>
      <c r="O231" s="2" t="n">
        <v>0</v>
      </c>
      <c r="P231" s="2" t="n">
        <v>0</v>
      </c>
      <c r="Q231" s="2" t="n">
        <v>2</v>
      </c>
      <c r="R231" s="2" t="n">
        <v>37</v>
      </c>
      <c r="S231" s="2" t="n"/>
      <c r="T231" s="2">
        <f>IF(OR(S231="",R231=0),"",ROUND(S231*R231,2))</f>
        <v/>
      </c>
      <c r="U231" s="2" t="inlineStr"/>
    </row>
    <row r="232">
      <c r="A232" s="2" t="inlineStr">
        <is>
          <t>F</t>
        </is>
      </c>
      <c r="B232" s="2" t="inlineStr">
        <is>
          <t>WARDROBES</t>
        </is>
      </c>
      <c r="C232" s="2" t="inlineStr">
        <is>
          <t>P</t>
        </is>
      </c>
      <c r="D232" s="2" t="inlineStr">
        <is>
          <t>625mm W x 2670mm L x 3180mm H; to Bedroom 3</t>
        </is>
      </c>
      <c r="E232" s="2" t="inlineStr">
        <is>
          <t>No</t>
        </is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1</v>
      </c>
      <c r="M232" s="2" t="n">
        <v>1</v>
      </c>
      <c r="N232" s="2" t="n">
        <v>0</v>
      </c>
      <c r="O232" s="2" t="n">
        <v>0</v>
      </c>
      <c r="P232" s="2" t="n">
        <v>0</v>
      </c>
      <c r="Q232" s="2" t="n">
        <v>2</v>
      </c>
      <c r="R232" s="2" t="n">
        <v>37</v>
      </c>
      <c r="S232" s="2" t="n"/>
      <c r="T232" s="2">
        <f>IF(OR(S232="",R232=0),"",ROUND(S232*R232,2))</f>
        <v/>
      </c>
      <c r="U232" s="2" t="inlineStr"/>
    </row>
    <row r="233">
      <c r="A233" s="2" t="inlineStr">
        <is>
          <t>G</t>
        </is>
      </c>
      <c r="B233" s="2" t="inlineStr">
        <is>
          <t>SUBSTRUCTURE</t>
        </is>
      </c>
      <c r="C233" s="2" t="inlineStr">
        <is>
          <t>A</t>
        </is>
      </c>
      <c r="D233" s="2" t="inlineStr">
        <is>
          <t>Polythene sheet</t>
        </is>
      </c>
      <c r="E233" s="2" t="inlineStr">
        <is>
          <t>m²</t>
        </is>
      </c>
      <c r="F233" s="2" t="n">
        <v>581</v>
      </c>
      <c r="G233" s="2" t="n">
        <v>581</v>
      </c>
      <c r="H233" s="2" t="n">
        <v>812</v>
      </c>
      <c r="I233" s="2" t="n">
        <v>823</v>
      </c>
      <c r="J233" s="2" t="n">
        <v>997</v>
      </c>
      <c r="K233" s="2" t="n">
        <v>997</v>
      </c>
      <c r="L233" s="2" t="n">
        <v>337</v>
      </c>
      <c r="M233" s="2" t="n">
        <v>333</v>
      </c>
      <c r="N233" s="2" t="n">
        <v>790</v>
      </c>
      <c r="O233" s="2" t="n">
        <v>39</v>
      </c>
      <c r="P233" s="2" t="n">
        <v>0</v>
      </c>
      <c r="Q233" s="2" t="n">
        <v>6290</v>
      </c>
      <c r="R233" s="2" t="n">
        <v>82592</v>
      </c>
      <c r="S233" s="2" t="n"/>
      <c r="T233" s="2">
        <f>IF(OR(S233="",R233=0),"",ROUND(S233*R233,2))</f>
        <v/>
      </c>
      <c r="U233" s="2" t="inlineStr"/>
    </row>
    <row r="234">
      <c r="A234" s="2" t="inlineStr">
        <is>
          <t>G</t>
        </is>
      </c>
      <c r="B234" s="2" t="inlineStr">
        <is>
          <t>SUBSTRUCTURE</t>
        </is>
      </c>
      <c r="C234" s="2" t="inlineStr">
        <is>
          <t>B</t>
        </is>
      </c>
      <c r="D234" s="2" t="inlineStr">
        <is>
          <t>To footing, raft</t>
        </is>
      </c>
      <c r="E234" s="2" t="inlineStr">
        <is>
          <t>m²</t>
        </is>
      </c>
      <c r="F234" s="2" t="n">
        <v>350</v>
      </c>
      <c r="G234" s="2" t="n">
        <v>350</v>
      </c>
      <c r="H234" s="2" t="n">
        <v>413</v>
      </c>
      <c r="I234" s="2" t="n">
        <v>436</v>
      </c>
      <c r="J234" s="2" t="n">
        <v>592</v>
      </c>
      <c r="K234" s="2" t="n">
        <v>592</v>
      </c>
      <c r="L234" s="2" t="n">
        <v>157</v>
      </c>
      <c r="M234" s="2" t="n">
        <v>148</v>
      </c>
      <c r="N234" s="2" t="n">
        <v>555</v>
      </c>
      <c r="O234" s="2" t="n">
        <v>22</v>
      </c>
      <c r="P234" s="2" t="n">
        <v>0</v>
      </c>
      <c r="Q234" s="2" t="n">
        <v>3615</v>
      </c>
      <c r="R234" s="2" t="n">
        <v>45273</v>
      </c>
      <c r="S234" s="2" t="n"/>
      <c r="T234" s="2">
        <f>IF(OR(S234="",R234=0),"",ROUND(S234*R234,2))</f>
        <v/>
      </c>
      <c r="U234" s="2" t="inlineStr"/>
    </row>
    <row r="235">
      <c r="A235" s="2" t="inlineStr">
        <is>
          <t>G</t>
        </is>
      </c>
      <c r="B235" s="2" t="inlineStr">
        <is>
          <t>SUBSTRUCTURE</t>
        </is>
      </c>
      <c r="C235" s="2" t="inlineStr">
        <is>
          <t>C</t>
        </is>
      </c>
      <c r="D235" s="2" t="inlineStr">
        <is>
          <t>To grade slab</t>
        </is>
      </c>
      <c r="E235" s="2" t="inlineStr">
        <is>
          <t>m²</t>
        </is>
      </c>
      <c r="F235" s="2" t="n">
        <v>327</v>
      </c>
      <c r="G235" s="2" t="n">
        <v>327</v>
      </c>
      <c r="H235" s="2" t="n">
        <v>548</v>
      </c>
      <c r="I235" s="2" t="n">
        <v>548</v>
      </c>
      <c r="J235" s="2" t="n">
        <v>621</v>
      </c>
      <c r="K235" s="2" t="n">
        <v>621</v>
      </c>
      <c r="L235" s="2" t="n">
        <v>235</v>
      </c>
      <c r="M235" s="2" t="n">
        <v>235</v>
      </c>
      <c r="N235" s="2" t="n">
        <v>355</v>
      </c>
      <c r="O235" s="2" t="n">
        <v>11</v>
      </c>
      <c r="P235" s="2" t="n">
        <v>0</v>
      </c>
      <c r="Q235" s="2" t="n">
        <v>3828</v>
      </c>
      <c r="R235" s="2" t="n">
        <v>52468</v>
      </c>
      <c r="S235" s="2" t="n"/>
      <c r="T235" s="2">
        <f>IF(OR(S235="",R235=0),"",ROUND(S235*R235,2))</f>
        <v/>
      </c>
      <c r="U235" s="2" t="inlineStr"/>
    </row>
    <row r="236">
      <c r="A236" s="2" t="inlineStr">
        <is>
          <t>G</t>
        </is>
      </c>
      <c r="B236" s="2" t="inlineStr">
        <is>
          <t>SUBSTRUCTURE</t>
        </is>
      </c>
      <c r="C236" s="2" t="inlineStr">
        <is>
          <t>D</t>
        </is>
      </c>
      <c r="D236" s="2" t="inlineStr">
        <is>
          <t>To ground beam &amp; solid block</t>
        </is>
      </c>
      <c r="E236" s="2" t="inlineStr">
        <is>
          <t>m²</t>
        </is>
      </c>
      <c r="F236" s="2" t="n">
        <v>60</v>
      </c>
      <c r="G236" s="2" t="n">
        <v>60</v>
      </c>
      <c r="H236" s="2" t="n">
        <v>58</v>
      </c>
      <c r="I236" s="2" t="n">
        <v>58</v>
      </c>
      <c r="J236" s="2" t="n">
        <v>80</v>
      </c>
      <c r="K236" s="2" t="n">
        <v>80</v>
      </c>
      <c r="L236" s="2" t="n">
        <v>108</v>
      </c>
      <c r="M236" s="2" t="n">
        <v>108</v>
      </c>
      <c r="N236" s="2" t="n">
        <v>56</v>
      </c>
      <c r="O236" s="2" t="n">
        <v>10</v>
      </c>
      <c r="P236" s="2" t="n">
        <v>0</v>
      </c>
      <c r="Q236" s="2" t="n">
        <v>678</v>
      </c>
      <c r="R236" s="2" t="n">
        <v>9824</v>
      </c>
      <c r="S236" s="2" t="n"/>
      <c r="T236" s="2">
        <f>IF(OR(S236="",R236=0),"",ROUND(S236*R236,2))</f>
        <v/>
      </c>
      <c r="U236" s="2" t="inlineStr"/>
    </row>
    <row r="237">
      <c r="A237" s="2" t="inlineStr">
        <is>
          <t>G</t>
        </is>
      </c>
      <c r="B237" s="2" t="inlineStr">
        <is>
          <t>SUBSTRUCTURE</t>
        </is>
      </c>
      <c r="C237" s="2" t="inlineStr">
        <is>
          <t>E</t>
        </is>
      </c>
      <c r="D237" s="2" t="inlineStr">
        <is>
          <t>To sides of footing, raft</t>
        </is>
      </c>
      <c r="E237" s="2" t="inlineStr">
        <is>
          <t>m²</t>
        </is>
      </c>
      <c r="F237" s="2" t="n">
        <v>139</v>
      </c>
      <c r="G237" s="2" t="n">
        <v>139</v>
      </c>
      <c r="H237" s="2" t="n">
        <v>192</v>
      </c>
      <c r="I237" s="2" t="n">
        <v>199</v>
      </c>
      <c r="J237" s="2" t="n">
        <v>554</v>
      </c>
      <c r="K237" s="2" t="n">
        <v>554</v>
      </c>
      <c r="L237" s="2" t="n">
        <v>76</v>
      </c>
      <c r="M237" s="2" t="n">
        <v>71</v>
      </c>
      <c r="N237" s="2" t="n">
        <v>169</v>
      </c>
      <c r="O237" s="2" t="n">
        <v>13</v>
      </c>
      <c r="P237" s="2" t="n">
        <v>0</v>
      </c>
      <c r="Q237" s="2" t="n">
        <v>2106</v>
      </c>
      <c r="R237" s="2" t="n">
        <v>24555</v>
      </c>
      <c r="S237" s="2" t="n"/>
      <c r="T237" s="2">
        <f>IF(OR(S237="",R237=0),"",ROUND(S237*R237,2))</f>
        <v/>
      </c>
      <c r="U237" s="2" t="inlineStr"/>
    </row>
    <row r="238">
      <c r="A238" s="2" t="inlineStr">
        <is>
          <t>G</t>
        </is>
      </c>
      <c r="B238" s="2" t="inlineStr">
        <is>
          <t>SUBSTRUCTURE</t>
        </is>
      </c>
      <c r="C238" s="2" t="inlineStr">
        <is>
          <t>F</t>
        </is>
      </c>
      <c r="D238" s="2" t="inlineStr">
        <is>
          <t>To sides of column, wall</t>
        </is>
      </c>
      <c r="E238" s="2" t="inlineStr">
        <is>
          <t>m²</t>
        </is>
      </c>
      <c r="F238" s="2" t="n">
        <v>37</v>
      </c>
      <c r="G238" s="2" t="n">
        <v>37</v>
      </c>
      <c r="H238" s="2" t="n">
        <v>122</v>
      </c>
      <c r="I238" s="2" t="n">
        <v>122</v>
      </c>
      <c r="J238" s="2" t="n">
        <v>175</v>
      </c>
      <c r="K238" s="2" t="n">
        <v>175</v>
      </c>
      <c r="L238" s="2" t="n">
        <v>48</v>
      </c>
      <c r="M238" s="2" t="n">
        <v>48</v>
      </c>
      <c r="N238" s="2" t="n">
        <v>446</v>
      </c>
      <c r="O238" s="2" t="n">
        <v>8</v>
      </c>
      <c r="P238" s="2" t="n">
        <v>0</v>
      </c>
      <c r="Q238" s="2" t="n">
        <v>1218</v>
      </c>
      <c r="R238" s="2" t="n">
        <v>11157</v>
      </c>
      <c r="S238" s="2" t="n"/>
      <c r="T238" s="2">
        <f>IF(OR(S238="",R238=0),"",ROUND(S238*R238,2))</f>
        <v/>
      </c>
      <c r="U238" s="2" t="inlineStr"/>
    </row>
    <row r="239">
      <c r="A239" s="2" t="inlineStr">
        <is>
          <t>G</t>
        </is>
      </c>
      <c r="B239" s="2" t="inlineStr">
        <is>
          <t>SUBSTRUCTURE</t>
        </is>
      </c>
      <c r="C239" s="2" t="inlineStr">
        <is>
          <t>G</t>
        </is>
      </c>
      <c r="D239" s="2" t="inlineStr">
        <is>
          <t>To sides of ground beams and solid block</t>
        </is>
      </c>
      <c r="E239" s="2" t="inlineStr">
        <is>
          <t>m²</t>
        </is>
      </c>
      <c r="F239" s="2" t="n">
        <v>415</v>
      </c>
      <c r="G239" s="2" t="n">
        <v>415</v>
      </c>
      <c r="H239" s="2" t="n">
        <v>329</v>
      </c>
      <c r="I239" s="2" t="n">
        <v>329</v>
      </c>
      <c r="J239" s="2" t="n">
        <v>630</v>
      </c>
      <c r="K239" s="2" t="n">
        <v>630</v>
      </c>
      <c r="L239" s="2" t="n">
        <v>166</v>
      </c>
      <c r="M239" s="2" t="n">
        <v>166</v>
      </c>
      <c r="N239" s="2" t="n">
        <v>417</v>
      </c>
      <c r="O239" s="2" t="n">
        <v>35</v>
      </c>
      <c r="P239" s="2" t="n">
        <v>0</v>
      </c>
      <c r="Q239" s="2" t="n">
        <v>3532</v>
      </c>
      <c r="R239" s="2" t="n">
        <v>44860</v>
      </c>
      <c r="S239" s="2" t="n"/>
      <c r="T239" s="2">
        <f>IF(OR(S239="",R239=0),"",ROUND(S239*R239,2))</f>
        <v/>
      </c>
      <c r="U239" s="2" t="inlineStr"/>
    </row>
    <row r="240">
      <c r="A240" s="2" t="inlineStr">
        <is>
          <t>G</t>
        </is>
      </c>
      <c r="B240" s="2" t="inlineStr">
        <is>
          <t>SUBSTRUCTURE</t>
        </is>
      </c>
      <c r="C240" s="2" t="inlineStr">
        <is>
          <t>H</t>
        </is>
      </c>
      <c r="D240" s="2" t="inlineStr">
        <is>
          <t>Damp proof course</t>
        </is>
      </c>
      <c r="E240" s="2" t="inlineStr">
        <is>
          <t>m</t>
        </is>
      </c>
      <c r="F240" s="2" t="n">
        <v>75</v>
      </c>
      <c r="G240" s="2" t="n">
        <v>75</v>
      </c>
      <c r="H240" s="2" t="n">
        <v>99</v>
      </c>
      <c r="I240" s="2" t="n">
        <v>99</v>
      </c>
      <c r="J240" s="2" t="n">
        <v>123</v>
      </c>
      <c r="K240" s="2" t="n">
        <v>123</v>
      </c>
      <c r="L240" s="2" t="n">
        <v>69</v>
      </c>
      <c r="M240" s="2" t="n">
        <v>69</v>
      </c>
      <c r="N240" s="2" t="n">
        <v>88</v>
      </c>
      <c r="O240" s="2" t="n">
        <v>18</v>
      </c>
      <c r="P240" s="2" t="n">
        <v>0</v>
      </c>
      <c r="Q240" s="2" t="n">
        <v>838</v>
      </c>
      <c r="R240" s="2" t="n">
        <v>11263</v>
      </c>
      <c r="S240" s="2" t="n"/>
      <c r="T240" s="2">
        <f>IF(OR(S240="",R240=0),"",ROUND(S240*R240,2))</f>
        <v/>
      </c>
      <c r="U240" s="2" t="inlineStr"/>
    </row>
    <row r="241">
      <c r="A241" s="2" t="inlineStr">
        <is>
          <t>G</t>
        </is>
      </c>
      <c r="B241" s="2" t="inlineStr">
        <is>
          <t>SUPERSTRUCTURE</t>
        </is>
      </c>
      <c r="C241" s="2" t="inlineStr">
        <is>
          <t>*B</t>
        </is>
      </c>
      <c r="D241" s="2" t="inlineStr">
        <is>
          <t>Vertically; to general areas, 300mm high</t>
        </is>
      </c>
      <c r="E241" s="2" t="inlineStr">
        <is>
          <t>m</t>
        </is>
      </c>
      <c r="F241" s="2" t="n">
        <v>69</v>
      </c>
      <c r="G241" s="2" t="n">
        <v>69</v>
      </c>
      <c r="H241" s="2" t="n">
        <v>102</v>
      </c>
      <c r="I241" s="2" t="n">
        <v>102</v>
      </c>
      <c r="J241" s="2" t="n">
        <v>202</v>
      </c>
      <c r="K241" s="2" t="n">
        <v>138</v>
      </c>
      <c r="L241" s="2" t="n">
        <v>25</v>
      </c>
      <c r="M241" s="2" t="n">
        <v>25</v>
      </c>
      <c r="N241" s="2" t="n">
        <v>56</v>
      </c>
      <c r="O241" s="2" t="n">
        <v>4</v>
      </c>
      <c r="P241" s="2" t="n">
        <v>0</v>
      </c>
      <c r="Q241" s="2" t="n">
        <v>792</v>
      </c>
      <c r="R241" s="2" t="n">
        <v>10300</v>
      </c>
      <c r="S241" s="2" t="n"/>
      <c r="T241" s="2">
        <f>IF(OR(S241="",R241=0),"",ROUND(S241*R241,2))</f>
        <v/>
      </c>
      <c r="U241" s="2" t="inlineStr"/>
    </row>
    <row r="242">
      <c r="A242" s="2" t="inlineStr">
        <is>
          <t>G</t>
        </is>
      </c>
      <c r="B242" s="2" t="inlineStr">
        <is>
          <t>SUPERSTRUCTURE</t>
        </is>
      </c>
      <c r="C242" s="2" t="inlineStr">
        <is>
          <t>*C</t>
        </is>
      </c>
      <c r="D242" s="2" t="inlineStr">
        <is>
          <t>Vertically; to wc &amp; vanity areas, laundry wet area 1200mm high</t>
        </is>
      </c>
      <c r="E242" s="2" t="inlineStr">
        <is>
          <t>m</t>
        </is>
      </c>
      <c r="F242" s="2" t="n">
        <v>74</v>
      </c>
      <c r="G242" s="2" t="n">
        <v>74</v>
      </c>
      <c r="H242" s="2" t="n">
        <v>109</v>
      </c>
      <c r="I242" s="2" t="n">
        <v>109</v>
      </c>
      <c r="J242" s="2" t="n">
        <v>143</v>
      </c>
      <c r="K242" s="2" t="n">
        <v>143</v>
      </c>
      <c r="L242" s="2" t="n">
        <v>29</v>
      </c>
      <c r="M242" s="2" t="n">
        <v>26.3</v>
      </c>
      <c r="N242" s="2" t="n">
        <v>32</v>
      </c>
      <c r="O242" s="2" t="n">
        <v>2</v>
      </c>
      <c r="P242" s="2" t="n">
        <v>0</v>
      </c>
      <c r="Q242" s="2" t="n">
        <v>741.3</v>
      </c>
      <c r="R242" s="2" t="n">
        <v>10332.7</v>
      </c>
      <c r="S242" s="2" t="n"/>
      <c r="T242" s="2">
        <f>IF(OR(S242="",R242=0),"",ROUND(S242*R242,2))</f>
        <v/>
      </c>
      <c r="U242" s="2" t="inlineStr"/>
    </row>
    <row r="243">
      <c r="A243" s="2" t="inlineStr">
        <is>
          <t>G</t>
        </is>
      </c>
      <c r="B243" s="2" t="inlineStr">
        <is>
          <t>SUPERSTRUCTURE</t>
        </is>
      </c>
      <c r="C243" s="2" t="inlineStr">
        <is>
          <t>A</t>
        </is>
      </c>
      <c r="D243" s="2" t="inlineStr">
        <is>
          <t>Two component flexible acrylic modified cementitious waterproofing;</t>
        </is>
      </c>
      <c r="E243" s="2" t="inlineStr">
        <is>
          <t>m²</t>
        </is>
      </c>
      <c r="F243" s="2" t="n">
        <v>22</v>
      </c>
      <c r="G243" s="2" t="n">
        <v>26</v>
      </c>
      <c r="H243" s="2" t="n">
        <v>36</v>
      </c>
      <c r="I243" s="2" t="n">
        <v>43</v>
      </c>
      <c r="J243" s="2" t="n">
        <v>49</v>
      </c>
      <c r="K243" s="2" t="n">
        <v>59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235</v>
      </c>
      <c r="R243" s="2" t="n">
        <v>3297</v>
      </c>
      <c r="S243" s="2" t="n"/>
      <c r="T243" s="2">
        <f>IF(OR(S243="",R243=0),"",ROUND(S243*R243,2))</f>
        <v/>
      </c>
      <c r="U243" s="2" t="inlineStr"/>
    </row>
    <row r="244">
      <c r="A244" s="2" t="inlineStr">
        <is>
          <t>G</t>
        </is>
      </c>
      <c r="B244" s="2" t="inlineStr">
        <is>
          <t>SUPERSTRUCTURE</t>
        </is>
      </c>
      <c r="C244" s="2" t="inlineStr">
        <is>
          <t>A</t>
        </is>
      </c>
      <c r="D244" s="2" t="inlineStr">
        <is>
          <t>Polyurethane foam spray, 125mm thick</t>
        </is>
      </c>
      <c r="E244" s="2" t="inlineStr">
        <is>
          <t>m²</t>
        </is>
      </c>
      <c r="F244" s="2" t="n">
        <v>297</v>
      </c>
      <c r="G244" s="2" t="n">
        <v>341</v>
      </c>
      <c r="H244" s="2" t="n">
        <v>401</v>
      </c>
      <c r="I244" s="2" t="n">
        <v>505</v>
      </c>
      <c r="J244" s="2" t="n">
        <v>496</v>
      </c>
      <c r="K244" s="2" t="n">
        <v>652</v>
      </c>
      <c r="L244" s="2" t="n">
        <v>66</v>
      </c>
      <c r="M244" s="2" t="n">
        <v>66</v>
      </c>
      <c r="N244" s="2" t="n">
        <v>0</v>
      </c>
      <c r="O244" s="2" t="n">
        <v>10</v>
      </c>
      <c r="P244" s="2" t="n">
        <v>0</v>
      </c>
      <c r="Q244" s="2" t="n">
        <v>2834</v>
      </c>
      <c r="R244" s="2" t="n">
        <v>41204</v>
      </c>
      <c r="S244" s="2" t="n"/>
      <c r="T244" s="2">
        <f>IF(OR(S244="",R244=0),"",ROUND(S244*R244,2))</f>
        <v/>
      </c>
      <c r="U244" s="2" t="inlineStr"/>
    </row>
    <row r="245">
      <c r="A245" s="2" t="inlineStr">
        <is>
          <t>G</t>
        </is>
      </c>
      <c r="B245" s="2" t="inlineStr">
        <is>
          <t>SUPERSTRUCTURE</t>
        </is>
      </c>
      <c r="C245" s="2" t="inlineStr">
        <is>
          <t>A</t>
        </is>
      </c>
      <c r="D245" s="2" t="inlineStr">
        <is>
          <t>Horizontally; to wet areas</t>
        </is>
      </c>
      <c r="E245" s="2" t="inlineStr">
        <is>
          <t>m²</t>
        </is>
      </c>
      <c r="F245" s="2" t="n">
        <v>107</v>
      </c>
      <c r="G245" s="2" t="n">
        <v>107</v>
      </c>
      <c r="H245" s="2" t="n">
        <v>153</v>
      </c>
      <c r="I245" s="2" t="n">
        <v>153</v>
      </c>
      <c r="J245" s="2" t="n">
        <v>198</v>
      </c>
      <c r="K245" s="2" t="n">
        <v>198</v>
      </c>
      <c r="L245" s="2" t="n">
        <v>55</v>
      </c>
      <c r="M245" s="2" t="n">
        <v>55</v>
      </c>
      <c r="N245" s="2" t="n">
        <v>91</v>
      </c>
      <c r="O245" s="2" t="n">
        <v>3</v>
      </c>
      <c r="P245" s="2" t="n">
        <v>0</v>
      </c>
      <c r="Q245" s="2" t="n">
        <v>1120</v>
      </c>
      <c r="R245" s="2" t="n">
        <v>15223</v>
      </c>
      <c r="S245" s="2" t="n"/>
      <c r="T245" s="2">
        <f>IF(OR(S245="",R245=0),"",ROUND(S245*R245,2))</f>
        <v/>
      </c>
      <c r="U245" s="2" t="inlineStr"/>
    </row>
    <row r="246">
      <c r="A246" s="2" t="inlineStr">
        <is>
          <t>G</t>
        </is>
      </c>
      <c r="B246" s="2" t="inlineStr">
        <is>
          <t>SUPERSTRUCTURE</t>
        </is>
      </c>
      <c r="C246" s="2" t="inlineStr">
        <is>
          <t>B</t>
        </is>
      </c>
      <c r="D246" s="2" t="inlineStr">
        <is>
          <t>One coat rubberized coating</t>
        </is>
      </c>
      <c r="E246" s="2" t="inlineStr">
        <is>
          <t>m²</t>
        </is>
      </c>
      <c r="F246" s="2" t="n">
        <v>297</v>
      </c>
      <c r="G246" s="2" t="n">
        <v>341</v>
      </c>
      <c r="H246" s="2" t="n">
        <v>401</v>
      </c>
      <c r="I246" s="2" t="n">
        <v>505</v>
      </c>
      <c r="J246" s="2" t="n">
        <v>496</v>
      </c>
      <c r="K246" s="2" t="n">
        <v>652</v>
      </c>
      <c r="L246" s="2" t="n">
        <v>66</v>
      </c>
      <c r="M246" s="2" t="n">
        <v>66</v>
      </c>
      <c r="N246" s="2" t="n">
        <v>0</v>
      </c>
      <c r="O246" s="2" t="n">
        <v>10</v>
      </c>
      <c r="P246" s="2" t="n">
        <v>0</v>
      </c>
      <c r="Q246" s="2" t="n">
        <v>2834</v>
      </c>
      <c r="R246" s="2" t="n">
        <v>41204</v>
      </c>
      <c r="S246" s="2" t="n"/>
      <c r="T246" s="2">
        <f>IF(OR(S246="",R246=0),"",ROUND(S246*R246,2))</f>
        <v/>
      </c>
      <c r="U246" s="2" t="inlineStr"/>
    </row>
    <row r="247">
      <c r="A247" s="2" t="inlineStr">
        <is>
          <t>G</t>
        </is>
      </c>
      <c r="B247" s="2" t="inlineStr">
        <is>
          <t>SUPERSTRUCTURE</t>
        </is>
      </c>
      <c r="C247" s="2" t="inlineStr">
        <is>
          <t>D</t>
        </is>
      </c>
      <c r="D247" s="2" t="inlineStr">
        <is>
          <t>Screed, mix design (20/10 300 OPC)</t>
        </is>
      </c>
      <c r="E247" s="2" t="inlineStr">
        <is>
          <t>m²</t>
        </is>
      </c>
      <c r="F247" s="2" t="n">
        <v>297</v>
      </c>
      <c r="G247" s="2" t="n">
        <v>341</v>
      </c>
      <c r="H247" s="2" t="n">
        <v>401</v>
      </c>
      <c r="I247" s="2" t="n">
        <v>505</v>
      </c>
      <c r="J247" s="2" t="n">
        <v>496</v>
      </c>
      <c r="K247" s="2" t="n">
        <v>652</v>
      </c>
      <c r="L247" s="2" t="n">
        <v>66</v>
      </c>
      <c r="M247" s="2" t="n">
        <v>66</v>
      </c>
      <c r="N247" s="2" t="n">
        <v>0</v>
      </c>
      <c r="O247" s="2" t="n">
        <v>10</v>
      </c>
      <c r="P247" s="2" t="n">
        <v>0</v>
      </c>
      <c r="Q247" s="2" t="n">
        <v>2834</v>
      </c>
      <c r="R247" s="2" t="n">
        <v>41204</v>
      </c>
      <c r="S247" s="2" t="n"/>
      <c r="T247" s="2">
        <f>IF(OR(S247="",R247=0),"",ROUND(S247*R247,2))</f>
        <v/>
      </c>
      <c r="U247" s="2" t="inlineStr"/>
    </row>
    <row r="248">
      <c r="A248" s="2" t="inlineStr">
        <is>
          <t>G</t>
        </is>
      </c>
      <c r="B248" s="2" t="inlineStr">
        <is>
          <t>SUPERSTRUCTURE</t>
        </is>
      </c>
      <c r="C248" s="2" t="inlineStr">
        <is>
          <t>D</t>
        </is>
      </c>
      <c r="D248" s="2" t="inlineStr">
        <is>
          <t>Vertically; full ht up to suspended ceiling to shower areas</t>
        </is>
      </c>
      <c r="E248" s="2" t="inlineStr">
        <is>
          <t>m²</t>
        </is>
      </c>
      <c r="F248" s="2" t="n">
        <v>129</v>
      </c>
      <c r="G248" s="2" t="n">
        <v>129</v>
      </c>
      <c r="H248" s="2" t="n">
        <v>173</v>
      </c>
      <c r="I248" s="2" t="n">
        <v>173</v>
      </c>
      <c r="J248" s="2" t="n">
        <v>218</v>
      </c>
      <c r="K248" s="2" t="n">
        <v>218</v>
      </c>
      <c r="L248" s="2" t="n">
        <v>23</v>
      </c>
      <c r="M248" s="2" t="n">
        <v>23</v>
      </c>
      <c r="N248" s="2" t="n">
        <v>56</v>
      </c>
      <c r="O248" s="2" t="n">
        <v>0</v>
      </c>
      <c r="P248" s="2" t="n">
        <v>0</v>
      </c>
      <c r="Q248" s="2" t="n">
        <v>1142</v>
      </c>
      <c r="R248" s="2" t="n">
        <v>15915</v>
      </c>
      <c r="S248" s="2" t="n"/>
      <c r="T248" s="2">
        <f>IF(OR(S248="",R248=0),"",ROUND(S248*R248,2))</f>
        <v/>
      </c>
      <c r="U248" s="2" t="inlineStr"/>
    </row>
    <row r="249">
      <c r="A249" s="2" t="inlineStr">
        <is>
          <t>G</t>
        </is>
      </c>
      <c r="B249" s="2" t="inlineStr">
        <is>
          <t>SUPERSTRUCTURE</t>
        </is>
      </c>
      <c r="C249" s="2" t="inlineStr">
        <is>
          <t>E</t>
        </is>
      </c>
      <c r="D249" s="2" t="inlineStr">
        <is>
          <t>Horizontally; to Lift pit</t>
        </is>
      </c>
      <c r="E249" s="2" t="inlineStr">
        <is>
          <t>m²</t>
        </is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4</v>
      </c>
      <c r="M249" s="2" t="n">
        <v>4</v>
      </c>
      <c r="N249" s="2" t="n">
        <v>0</v>
      </c>
      <c r="O249" s="2" t="n">
        <v>0</v>
      </c>
      <c r="P249" s="2" t="n">
        <v>0</v>
      </c>
      <c r="Q249" s="2" t="n">
        <v>8</v>
      </c>
      <c r="R249" s="2" t="n">
        <v>148</v>
      </c>
      <c r="S249" s="2" t="n"/>
      <c r="T249" s="2">
        <f>IF(OR(S249="",R249=0),"",ROUND(S249*R249,2))</f>
        <v/>
      </c>
      <c r="U249" s="2" t="inlineStr"/>
    </row>
    <row r="250">
      <c r="A250" s="2" t="inlineStr">
        <is>
          <t>G</t>
        </is>
      </c>
      <c r="B250" s="2" t="inlineStr">
        <is>
          <t>SUPERSTRUCTURE</t>
        </is>
      </c>
      <c r="C250" s="2" t="inlineStr">
        <is>
          <t>F</t>
        </is>
      </c>
      <c r="D250" s="2" t="inlineStr">
        <is>
          <t>Polybonding agent</t>
        </is>
      </c>
      <c r="E250" s="2" t="inlineStr">
        <is>
          <t>m²</t>
        </is>
      </c>
      <c r="F250" s="2" t="n">
        <v>297</v>
      </c>
      <c r="G250" s="2" t="n">
        <v>341</v>
      </c>
      <c r="H250" s="2" t="n">
        <v>401</v>
      </c>
      <c r="I250" s="2" t="n">
        <v>505</v>
      </c>
      <c r="J250" s="2" t="n">
        <v>496</v>
      </c>
      <c r="K250" s="2" t="n">
        <v>652</v>
      </c>
      <c r="L250" s="2" t="n">
        <v>66</v>
      </c>
      <c r="M250" s="2" t="n">
        <v>66</v>
      </c>
      <c r="N250" s="2" t="n">
        <v>0</v>
      </c>
      <c r="O250" s="2" t="n">
        <v>10</v>
      </c>
      <c r="P250" s="2" t="n">
        <v>0</v>
      </c>
      <c r="Q250" s="2" t="n">
        <v>2834</v>
      </c>
      <c r="R250" s="2" t="n">
        <v>41204</v>
      </c>
      <c r="S250" s="2" t="n"/>
      <c r="T250" s="2">
        <f>IF(OR(S250="",R250=0),"",ROUND(S250*R250,2))</f>
        <v/>
      </c>
      <c r="U250" s="2" t="inlineStr"/>
    </row>
    <row r="251">
      <c r="A251" s="2" t="inlineStr">
        <is>
          <t>G</t>
        </is>
      </c>
      <c r="B251" s="2" t="inlineStr">
        <is>
          <t>SUPERSTRUCTURE</t>
        </is>
      </c>
      <c r="C251" s="2" t="inlineStr">
        <is>
          <t>F</t>
        </is>
      </c>
      <c r="D251" s="2" t="inlineStr">
        <is>
          <t>Vertically; to Lift pit</t>
        </is>
      </c>
      <c r="E251" s="2" t="inlineStr">
        <is>
          <t>m²</t>
        </is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11</v>
      </c>
      <c r="M251" s="2" t="n">
        <v>11</v>
      </c>
      <c r="N251" s="2" t="n">
        <v>0</v>
      </c>
      <c r="O251" s="2" t="n">
        <v>0</v>
      </c>
      <c r="P251" s="2" t="n">
        <v>0</v>
      </c>
      <c r="Q251" s="2" t="n">
        <v>22</v>
      </c>
      <c r="R251" s="2" t="n">
        <v>407</v>
      </c>
      <c r="S251" s="2" t="n"/>
      <c r="T251" s="2">
        <f>IF(OR(S251="",R251=0),"",ROUND(S251*R251,2))</f>
        <v/>
      </c>
      <c r="U251" s="2" t="inlineStr"/>
    </row>
    <row r="252">
      <c r="A252" s="2" t="inlineStr">
        <is>
          <t>G</t>
        </is>
      </c>
      <c r="B252" s="2" t="inlineStr">
        <is>
          <t>SUPERSTRUCTURE</t>
        </is>
      </c>
      <c r="C252" s="2" t="inlineStr">
        <is>
          <t>G</t>
        </is>
      </c>
      <c r="D252" s="2" t="inlineStr">
        <is>
          <t>100x100 Angle fillet -over polybond bonding agent (varies according to slope)</t>
        </is>
      </c>
      <c r="E252" s="2" t="inlineStr">
        <is>
          <t>m</t>
        </is>
      </c>
      <c r="F252" s="2" t="n">
        <v>238</v>
      </c>
      <c r="G252" s="2" t="n">
        <v>322</v>
      </c>
      <c r="H252" s="2" t="n">
        <v>282</v>
      </c>
      <c r="I252" s="2" t="n">
        <v>383</v>
      </c>
      <c r="J252" s="2" t="n">
        <v>395</v>
      </c>
      <c r="K252" s="2" t="n">
        <v>499</v>
      </c>
      <c r="L252" s="2" t="n">
        <v>33</v>
      </c>
      <c r="M252" s="2" t="n">
        <v>33</v>
      </c>
      <c r="N252" s="2" t="n">
        <v>0</v>
      </c>
      <c r="O252" s="2" t="n">
        <v>22</v>
      </c>
      <c r="P252" s="2" t="n">
        <v>0</v>
      </c>
      <c r="Q252" s="2" t="n">
        <v>2207</v>
      </c>
      <c r="R252" s="2" t="n">
        <v>31762</v>
      </c>
      <c r="S252" s="2" t="n"/>
      <c r="T252" s="2">
        <f>IF(OR(S252="",R252=0),"",ROUND(S252*R252,2))</f>
        <v/>
      </c>
      <c r="U252" s="2" t="inlineStr"/>
    </row>
    <row r="253">
      <c r="A253" s="2" t="inlineStr">
        <is>
          <t>G</t>
        </is>
      </c>
      <c r="B253" s="2" t="inlineStr">
        <is>
          <t>SUPERSTRUCTURE</t>
        </is>
      </c>
      <c r="C253" s="2" t="inlineStr">
        <is>
          <t>G</t>
        </is>
      </c>
      <c r="D253" s="2" t="inlineStr">
        <is>
          <t>To floors</t>
        </is>
      </c>
      <c r="E253" s="2" t="inlineStr">
        <is>
          <t>m²</t>
        </is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13</v>
      </c>
      <c r="O253" s="2" t="n">
        <v>0</v>
      </c>
      <c r="P253" s="2" t="n">
        <v>0</v>
      </c>
      <c r="Q253" s="2" t="n">
        <v>13</v>
      </c>
      <c r="R253" s="2" t="n">
        <v>13</v>
      </c>
      <c r="S253" s="2" t="n"/>
      <c r="T253" s="2">
        <f>IF(OR(S253="",R253=0),"",ROUND(S253*R253,2))</f>
        <v/>
      </c>
      <c r="U253" s="2" t="inlineStr"/>
    </row>
    <row r="254">
      <c r="A254" s="2" t="inlineStr">
        <is>
          <t>G</t>
        </is>
      </c>
      <c r="B254" s="2" t="inlineStr">
        <is>
          <t>SUPERSTRUCTURE</t>
        </is>
      </c>
      <c r="C254" s="2" t="inlineStr">
        <is>
          <t>H</t>
        </is>
      </c>
      <c r="D254" s="2" t="inlineStr">
        <is>
          <t>100mm thick thermal insulation polyurethane foam spray</t>
        </is>
      </c>
      <c r="E254" s="2" t="inlineStr">
        <is>
          <t>m²</t>
        </is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44</v>
      </c>
      <c r="M254" s="2" t="n">
        <v>45</v>
      </c>
      <c r="N254" s="2" t="n">
        <v>0</v>
      </c>
      <c r="O254" s="2" t="n">
        <v>0</v>
      </c>
      <c r="P254" s="2" t="n">
        <v>0</v>
      </c>
      <c r="Q254" s="2" t="n">
        <v>89</v>
      </c>
      <c r="R254" s="2" t="n">
        <v>1647</v>
      </c>
      <c r="S254" s="2" t="n"/>
      <c r="T254" s="2">
        <f>IF(OR(S254="",R254=0),"",ROUND(S254*R254,2))</f>
        <v/>
      </c>
      <c r="U254" s="2" t="inlineStr"/>
    </row>
    <row r="255">
      <c r="A255" s="2" t="inlineStr">
        <is>
          <t>G</t>
        </is>
      </c>
      <c r="B255" s="2" t="inlineStr">
        <is>
          <t>SUPERSTRUCTURE</t>
        </is>
      </c>
      <c r="C255" s="2" t="inlineStr">
        <is>
          <t>H</t>
        </is>
      </c>
      <c r="D255" s="2" t="inlineStr">
        <is>
          <t>Fabric reinforcement</t>
        </is>
      </c>
      <c r="E255" s="2" t="inlineStr">
        <is>
          <t>m²</t>
        </is>
      </c>
      <c r="F255" s="2" t="n">
        <v>297</v>
      </c>
      <c r="G255" s="2" t="n">
        <v>341</v>
      </c>
      <c r="H255" s="2" t="n">
        <v>401</v>
      </c>
      <c r="I255" s="2" t="n">
        <v>505</v>
      </c>
      <c r="J255" s="2" t="n">
        <v>496</v>
      </c>
      <c r="K255" s="2" t="n">
        <v>652</v>
      </c>
      <c r="L255" s="2" t="n">
        <v>66</v>
      </c>
      <c r="M255" s="2" t="n">
        <v>66</v>
      </c>
      <c r="N255" s="2" t="n">
        <v>0</v>
      </c>
      <c r="O255" s="2" t="n">
        <v>22</v>
      </c>
      <c r="P255" s="2" t="n">
        <v>0</v>
      </c>
      <c r="Q255" s="2" t="n">
        <v>2846</v>
      </c>
      <c r="R255" s="2" t="n">
        <v>41216</v>
      </c>
      <c r="S255" s="2" t="n"/>
      <c r="T255" s="2">
        <f>IF(OR(S255="",R255=0),"",ROUND(S255*R255,2))</f>
        <v/>
      </c>
      <c r="U255" s="2" t="inlineStr"/>
    </row>
    <row r="256">
      <c r="A256" s="2" t="inlineStr">
        <is>
          <t>G</t>
        </is>
      </c>
      <c r="B256" s="2" t="inlineStr">
        <is>
          <t>SUPERSTRUCTURE</t>
        </is>
      </c>
      <c r="C256" s="2" t="inlineStr">
        <is>
          <t>H</t>
        </is>
      </c>
      <c r="D256" s="2" t="inlineStr">
        <is>
          <t>To walls</t>
        </is>
      </c>
      <c r="E256" s="2" t="inlineStr">
        <is>
          <t>m²</t>
        </is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84</v>
      </c>
      <c r="O256" s="2" t="n">
        <v>0</v>
      </c>
      <c r="P256" s="2" t="n">
        <v>0</v>
      </c>
      <c r="Q256" s="2" t="n">
        <v>84</v>
      </c>
      <c r="R256" s="2" t="n">
        <v>84</v>
      </c>
      <c r="S256" s="2" t="n"/>
      <c r="T256" s="2">
        <f>IF(OR(S256="",R256=0),"",ROUND(S256*R256,2))</f>
        <v/>
      </c>
      <c r="U256" s="2" t="inlineStr"/>
    </row>
    <row r="257">
      <c r="A257" s="2" t="inlineStr">
        <is>
          <t>G</t>
        </is>
      </c>
      <c r="B257" s="2" t="inlineStr">
        <is>
          <t>SUPERSTRUCTURE</t>
        </is>
      </c>
      <c r="C257" s="2" t="inlineStr">
        <is>
          <t>J</t>
        </is>
      </c>
      <c r="D257" s="2" t="inlineStr">
        <is>
          <t>Polymer modified cement water proofing membrane</t>
        </is>
      </c>
      <c r="E257" s="2" t="inlineStr">
        <is>
          <t>m²</t>
        </is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44</v>
      </c>
      <c r="M257" s="2" t="n">
        <v>45</v>
      </c>
      <c r="N257" s="2" t="n">
        <v>0</v>
      </c>
      <c r="O257" s="2" t="n">
        <v>0</v>
      </c>
      <c r="P257" s="2" t="n">
        <v>0</v>
      </c>
      <c r="Q257" s="2" t="n">
        <v>89</v>
      </c>
      <c r="R257" s="2" t="n">
        <v>1647</v>
      </c>
      <c r="S257" s="2" t="n"/>
      <c r="T257" s="2">
        <f>IF(OR(S257="",R257=0),"",ROUND(S257*R257,2))</f>
        <v/>
      </c>
      <c r="U257" s="2" t="inlineStr"/>
    </row>
    <row r="258">
      <c r="A258" s="2" t="inlineStr">
        <is>
          <t>G</t>
        </is>
      </c>
      <c r="B258" s="2" t="inlineStr">
        <is>
          <t>SUPERSTRUCTURE</t>
        </is>
      </c>
      <c r="C258" s="2" t="inlineStr">
        <is>
          <t>J</t>
        </is>
      </c>
      <c r="D258" s="2" t="inlineStr">
        <is>
          <t>Top coat of cementitious acrylic coating</t>
        </is>
      </c>
      <c r="E258" s="2" t="inlineStr">
        <is>
          <t>m²</t>
        </is>
      </c>
      <c r="F258" s="2" t="n">
        <v>297</v>
      </c>
      <c r="G258" s="2" t="n">
        <v>341</v>
      </c>
      <c r="H258" s="2" t="n">
        <v>401</v>
      </c>
      <c r="I258" s="2" t="n">
        <v>505</v>
      </c>
      <c r="J258" s="2" t="n">
        <v>496</v>
      </c>
      <c r="K258" s="2" t="n">
        <v>652</v>
      </c>
      <c r="L258" s="2" t="n">
        <v>66</v>
      </c>
      <c r="M258" s="2" t="n">
        <v>66</v>
      </c>
      <c r="N258" s="2" t="n">
        <v>0</v>
      </c>
      <c r="O258" s="2" t="n">
        <v>22</v>
      </c>
      <c r="P258" s="2" t="n">
        <v>0</v>
      </c>
      <c r="Q258" s="2" t="n">
        <v>2846</v>
      </c>
      <c r="R258" s="2" t="n">
        <v>41216</v>
      </c>
      <c r="S258" s="2" t="n"/>
      <c r="T258" s="2">
        <f>IF(OR(S258="",R258=0),"",ROUND(S258*R258,2))</f>
        <v/>
      </c>
      <c r="U258" s="2" t="inlineStr"/>
    </row>
    <row r="259">
      <c r="A259" s="2" t="inlineStr">
        <is>
          <t>G</t>
        </is>
      </c>
      <c r="B259" s="2" t="inlineStr">
        <is>
          <t>SUPERSTRUCTURE</t>
        </is>
      </c>
      <c r="C259" s="2" t="inlineStr">
        <is>
          <t>J</t>
        </is>
      </c>
      <c r="D259" s="2" t="inlineStr">
        <is>
          <t>To ceiling</t>
        </is>
      </c>
      <c r="E259" s="2" t="inlineStr">
        <is>
          <t>m²</t>
        </is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13</v>
      </c>
      <c r="O259" s="2" t="n">
        <v>0</v>
      </c>
      <c r="P259" s="2" t="n">
        <v>0</v>
      </c>
      <c r="Q259" s="2" t="n">
        <v>13</v>
      </c>
      <c r="R259" s="2" t="n">
        <v>13</v>
      </c>
      <c r="S259" s="2" t="n"/>
      <c r="T259" s="2">
        <f>IF(OR(S259="",R259=0),"",ROUND(S259*R259,2))</f>
        <v/>
      </c>
      <c r="U259" s="2" t="inlineStr"/>
    </row>
    <row r="260">
      <c r="A260" s="2" t="inlineStr">
        <is>
          <t>G</t>
        </is>
      </c>
      <c r="B260" s="2" t="inlineStr">
        <is>
          <t>SUPERSTRUCTURE</t>
        </is>
      </c>
      <c r="C260" s="2" t="inlineStr">
        <is>
          <t>K</t>
        </is>
      </c>
      <c r="D260" s="2" t="inlineStr">
        <is>
          <t>Sprayed foam thermal insulation of thick 70mm</t>
        </is>
      </c>
      <c r="E260" s="2" t="inlineStr">
        <is>
          <t>m²</t>
        </is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43</v>
      </c>
      <c r="M260" s="2" t="n">
        <v>44</v>
      </c>
      <c r="N260" s="2" t="n">
        <v>0</v>
      </c>
      <c r="O260" s="2" t="n">
        <v>0</v>
      </c>
      <c r="P260" s="2" t="n">
        <v>0</v>
      </c>
      <c r="Q260" s="2" t="n">
        <v>87</v>
      </c>
      <c r="R260" s="2" t="n">
        <v>1610</v>
      </c>
      <c r="S260" s="2" t="n"/>
      <c r="T260" s="2">
        <f>IF(OR(S260="",R260=0),"",ROUND(S260*R260,2))</f>
        <v/>
      </c>
      <c r="U260" s="2" t="inlineStr"/>
    </row>
    <row r="261">
      <c r="A261" s="2" t="inlineStr">
        <is>
          <t>G</t>
        </is>
      </c>
      <c r="B261" s="2" t="inlineStr">
        <is>
          <t>SUPERSTRUCTURE</t>
        </is>
      </c>
      <c r="C261" s="2" t="inlineStr">
        <is>
          <t>K</t>
        </is>
      </c>
      <c r="D261" s="2" t="inlineStr">
        <is>
          <t>Thermal insulation polyurethane foam spray as per specifications and approval</t>
        </is>
      </c>
      <c r="E261" s="2" t="inlineStr">
        <is>
          <t>m²</t>
        </is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560</v>
      </c>
      <c r="O261" s="2" t="n">
        <v>0</v>
      </c>
      <c r="P261" s="2" t="n">
        <v>0</v>
      </c>
      <c r="Q261" s="2" t="n">
        <v>560</v>
      </c>
      <c r="R261" s="2" t="n">
        <v>560</v>
      </c>
      <c r="S261" s="2" t="n"/>
      <c r="T261" s="2">
        <f>IF(OR(S261="",R261=0),"",ROUND(S261*R261,2))</f>
        <v/>
      </c>
      <c r="U261" s="2" t="inlineStr"/>
    </row>
    <row r="262">
      <c r="A262" s="2" t="inlineStr">
        <is>
          <t>G</t>
        </is>
      </c>
      <c r="B262" s="2" t="inlineStr">
        <is>
          <t>SUPERSTRUCTURE</t>
        </is>
      </c>
      <c r="C262" s="2" t="inlineStr">
        <is>
          <t>L</t>
        </is>
      </c>
      <c r="D262" s="2" t="inlineStr">
        <is>
          <t>Sprayed/brushed applied liquid elastomeric UV protection coating</t>
        </is>
      </c>
      <c r="E262" s="2" t="inlineStr">
        <is>
          <t>m²</t>
        </is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43</v>
      </c>
      <c r="M262" s="2" t="n">
        <v>44</v>
      </c>
      <c r="N262" s="2" t="n">
        <v>0</v>
      </c>
      <c r="O262" s="2" t="n">
        <v>0</v>
      </c>
      <c r="P262" s="2" t="n">
        <v>0</v>
      </c>
      <c r="Q262" s="2" t="n">
        <v>87</v>
      </c>
      <c r="R262" s="2" t="n">
        <v>1610</v>
      </c>
      <c r="S262" s="2" t="n"/>
      <c r="T262" s="2">
        <f>IF(OR(S262="",R262=0),"",ROUND(S262*R262,2))</f>
        <v/>
      </c>
      <c r="U262" s="2" t="inlineStr"/>
    </row>
    <row r="263">
      <c r="A263" s="2" t="inlineStr">
        <is>
          <t>G</t>
        </is>
      </c>
      <c r="B263" s="2" t="inlineStr">
        <is>
          <t>SUPERSTRUCTURE</t>
        </is>
      </c>
      <c r="C263" s="2" t="inlineStr">
        <is>
          <t>L</t>
        </is>
      </c>
      <c r="D263" s="2" t="inlineStr">
        <is>
          <t>Screed, laid to slope as per specification and approval</t>
        </is>
      </c>
      <c r="E263" s="2" t="inlineStr">
        <is>
          <t>m²</t>
        </is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560</v>
      </c>
      <c r="O263" s="2" t="n">
        <v>0</v>
      </c>
      <c r="P263" s="2" t="n">
        <v>0</v>
      </c>
      <c r="Q263" s="2" t="n">
        <v>560</v>
      </c>
      <c r="R263" s="2" t="n">
        <v>560</v>
      </c>
      <c r="S263" s="2" t="n"/>
      <c r="T263" s="2">
        <f>IF(OR(S263="",R263=0),"",ROUND(S263*R263,2))</f>
        <v/>
      </c>
      <c r="U263" s="2" t="inlineStr"/>
    </row>
    <row r="264">
      <c r="A264" s="2" t="inlineStr">
        <is>
          <t>G</t>
        </is>
      </c>
      <c r="B264" s="2" t="inlineStr">
        <is>
          <t>SUPERSTRUCTURE</t>
        </is>
      </c>
      <c r="C264" s="2" t="inlineStr">
        <is>
          <t>M</t>
        </is>
      </c>
      <c r="D264" s="2" t="inlineStr">
        <is>
          <t>Filter membrane of 120 gsm</t>
        </is>
      </c>
      <c r="E264" s="2" t="inlineStr">
        <is>
          <t>m²</t>
        </is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43</v>
      </c>
      <c r="M264" s="2" t="n">
        <v>44</v>
      </c>
      <c r="N264" s="2" t="n">
        <v>0</v>
      </c>
      <c r="O264" s="2" t="n">
        <v>0</v>
      </c>
      <c r="P264" s="2" t="n">
        <v>0</v>
      </c>
      <c r="Q264" s="2" t="n">
        <v>87</v>
      </c>
      <c r="R264" s="2" t="n">
        <v>1610</v>
      </c>
      <c r="S264" s="2" t="n"/>
      <c r="T264" s="2">
        <f>IF(OR(S264="",R264=0),"",ROUND(S264*R264,2))</f>
        <v/>
      </c>
      <c r="U264" s="2" t="inlineStr"/>
    </row>
    <row r="265">
      <c r="A265" s="2" t="inlineStr">
        <is>
          <t>G</t>
        </is>
      </c>
      <c r="B265" s="2" t="inlineStr">
        <is>
          <t>SUPERSTRUCTURE</t>
        </is>
      </c>
      <c r="C265" s="2" t="inlineStr">
        <is>
          <t>M</t>
        </is>
      </c>
      <c r="D265" s="2" t="inlineStr">
        <is>
          <t>UV Resistant, water based hybrid resistant, water based hybrid polyurethane water proofing, to community center roof</t>
        </is>
      </c>
      <c r="E265" s="2" t="inlineStr">
        <is>
          <t>m²</t>
        </is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560</v>
      </c>
      <c r="O265" s="2" t="n">
        <v>0</v>
      </c>
      <c r="P265" s="2" t="n">
        <v>0</v>
      </c>
      <c r="Q265" s="2" t="n">
        <v>560</v>
      </c>
      <c r="R265" s="2" t="n">
        <v>560</v>
      </c>
      <c r="S265" s="2" t="n"/>
      <c r="T265" s="2">
        <f>IF(OR(S265="",R265=0),"",ROUND(S265*R265,2))</f>
        <v/>
      </c>
      <c r="U265" s="2" t="inlineStr"/>
    </row>
    <row r="266">
      <c r="A266" s="2" t="inlineStr">
        <is>
          <t>G</t>
        </is>
      </c>
      <c r="B266" s="2" t="inlineStr">
        <is>
          <t>SUPERSTRUCTURE</t>
        </is>
      </c>
      <c r="C266" s="2" t="inlineStr">
        <is>
          <t>N</t>
        </is>
      </c>
      <c r="D266" s="2" t="inlineStr">
        <is>
          <t>SBR bonding agent</t>
        </is>
      </c>
      <c r="E266" s="2" t="inlineStr">
        <is>
          <t>m²</t>
        </is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43</v>
      </c>
      <c r="M266" s="2" t="n">
        <v>44</v>
      </c>
      <c r="N266" s="2" t="n">
        <v>0</v>
      </c>
      <c r="O266" s="2" t="n">
        <v>0</v>
      </c>
      <c r="P266" s="2" t="n">
        <v>0</v>
      </c>
      <c r="Q266" s="2" t="n">
        <v>87</v>
      </c>
      <c r="R266" s="2" t="n">
        <v>1610</v>
      </c>
      <c r="S266" s="2" t="n"/>
      <c r="T266" s="2">
        <f>IF(OR(S266="",R266=0),"",ROUND(S266*R266,2))</f>
        <v/>
      </c>
      <c r="U266" s="2" t="inlineStr"/>
    </row>
    <row r="267">
      <c r="A267" s="2" t="inlineStr">
        <is>
          <t>G</t>
        </is>
      </c>
      <c r="B267" s="2" t="inlineStr">
        <is>
          <t>SUPERSTRUCTURE</t>
        </is>
      </c>
      <c r="C267" s="2" t="inlineStr">
        <is>
          <t>N</t>
        </is>
      </c>
      <c r="D267" s="2" t="inlineStr">
        <is>
          <t>Waterproofing</t>
        </is>
      </c>
      <c r="E267" s="2" t="inlineStr">
        <is>
          <t>m²</t>
        </is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560</v>
      </c>
      <c r="O267" s="2" t="n">
        <v>0</v>
      </c>
      <c r="P267" s="2" t="n">
        <v>0</v>
      </c>
      <c r="Q267" s="2" t="n">
        <v>560</v>
      </c>
      <c r="R267" s="2" t="n">
        <v>560</v>
      </c>
      <c r="S267" s="2" t="n"/>
      <c r="T267" s="2">
        <f>IF(OR(S267="",R267=0),"",ROUND(S267*R267,2))</f>
        <v/>
      </c>
      <c r="U267" s="2" t="inlineStr"/>
    </row>
    <row r="268">
      <c r="A268" s="2" t="inlineStr">
        <is>
          <t>G</t>
        </is>
      </c>
      <c r="B268" s="2" t="inlineStr">
        <is>
          <t>SUPERSTRUCTURE</t>
        </is>
      </c>
      <c r="C268" s="2" t="inlineStr">
        <is>
          <t>P</t>
        </is>
      </c>
      <c r="D268" s="2" t="inlineStr">
        <is>
          <t>Fiber reinforced 100mm x 100mm cement/sand angle fillet over  bonding agent</t>
        </is>
      </c>
      <c r="E268" s="2" t="inlineStr">
        <is>
          <t>m</t>
        </is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43</v>
      </c>
      <c r="M268" s="2" t="n">
        <v>44</v>
      </c>
      <c r="N268" s="2" t="n">
        <v>0</v>
      </c>
      <c r="O268" s="2" t="n">
        <v>0</v>
      </c>
      <c r="P268" s="2" t="n">
        <v>0</v>
      </c>
      <c r="Q268" s="2" t="n">
        <v>87</v>
      </c>
      <c r="R268" s="2" t="n">
        <v>1610</v>
      </c>
      <c r="S268" s="2" t="n"/>
      <c r="T268" s="2">
        <f>IF(OR(S268="",R268=0),"",ROUND(S268*R268,2))</f>
        <v/>
      </c>
      <c r="U268" s="2" t="inlineStr"/>
    </row>
    <row r="269">
      <c r="A269" s="2" t="inlineStr">
        <is>
          <t>G</t>
        </is>
      </c>
      <c r="B269" s="2" t="inlineStr">
        <is>
          <t>SUPERSTRUCTURE</t>
        </is>
      </c>
      <c r="C269" s="2" t="inlineStr">
        <is>
          <t>P</t>
        </is>
      </c>
      <c r="D269" s="2" t="inlineStr">
        <is>
          <t>Waterproofing, 300mm high</t>
        </is>
      </c>
      <c r="E269" s="2" t="inlineStr">
        <is>
          <t>m</t>
        </is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172</v>
      </c>
      <c r="O269" s="2" t="n">
        <v>0</v>
      </c>
      <c r="P269" s="2" t="n">
        <v>0</v>
      </c>
      <c r="Q269" s="2" t="n">
        <v>172</v>
      </c>
      <c r="R269" s="2" t="n">
        <v>172</v>
      </c>
      <c r="S269" s="2" t="n"/>
      <c r="T269" s="2">
        <f>IF(OR(S269="",R269=0),"",ROUND(S269*R269,2))</f>
        <v/>
      </c>
      <c r="U269" s="2" t="inlineStr"/>
    </row>
    <row r="270">
      <c r="A270" s="2" t="inlineStr">
        <is>
          <t>G</t>
        </is>
      </c>
      <c r="B270" s="2" t="inlineStr">
        <is>
          <t>SUPERSTRUCTURE</t>
        </is>
      </c>
      <c r="C270" s="2" t="inlineStr">
        <is>
          <t>Q</t>
        </is>
      </c>
      <c r="D270" s="2" t="inlineStr">
        <is>
          <t>Two coats flexible acrylic cementitious coating with UV and ozone resistance</t>
        </is>
      </c>
      <c r="E270" s="2" t="inlineStr">
        <is>
          <t>m²</t>
        </is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43</v>
      </c>
      <c r="M270" s="2" t="n">
        <v>44</v>
      </c>
      <c r="N270" s="2" t="n">
        <v>0</v>
      </c>
      <c r="O270" s="2" t="n">
        <v>0</v>
      </c>
      <c r="P270" s="2" t="n">
        <v>0</v>
      </c>
      <c r="Q270" s="2" t="n">
        <v>87</v>
      </c>
      <c r="R270" s="2" t="n">
        <v>1610</v>
      </c>
      <c r="S270" s="2" t="n"/>
      <c r="T270" s="2">
        <f>IF(OR(S270="",R270=0),"",ROUND(S270*R270,2))</f>
        <v/>
      </c>
      <c r="U270" s="2" t="inlineStr"/>
    </row>
    <row r="271">
      <c r="A271" s="2" t="inlineStr">
        <is>
          <t>G</t>
        </is>
      </c>
      <c r="B271" s="2" t="inlineStr">
        <is>
          <t>SUPERSTRUCTURE</t>
        </is>
      </c>
      <c r="C271" s="2" t="inlineStr">
        <is>
          <t>Q</t>
        </is>
      </c>
      <c r="D271" s="2" t="inlineStr">
        <is>
          <t>Horizontal</t>
        </is>
      </c>
      <c r="E271" s="2" t="inlineStr">
        <is>
          <t>m²</t>
        </is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3</v>
      </c>
      <c r="P271" s="2" t="n">
        <v>0</v>
      </c>
      <c r="Q271" s="2" t="n">
        <v>3</v>
      </c>
      <c r="R271" s="2" t="n">
        <v>3</v>
      </c>
      <c r="S271" s="2" t="n"/>
      <c r="T271" s="2">
        <f>IF(OR(S271="",R271=0),"",ROUND(S271*R271,2))</f>
        <v/>
      </c>
      <c r="U271" s="2" t="inlineStr"/>
    </row>
    <row r="272">
      <c r="A272" s="2" t="inlineStr">
        <is>
          <t>G</t>
        </is>
      </c>
      <c r="B272" s="2" t="inlineStr">
        <is>
          <t>SUPERSTRUCTURE</t>
        </is>
      </c>
      <c r="C272" s="2" t="inlineStr">
        <is>
          <t>R</t>
        </is>
      </c>
      <c r="D272" s="2" t="inlineStr">
        <is>
          <t>Vertical</t>
        </is>
      </c>
      <c r="E272" s="2" t="inlineStr">
        <is>
          <t>m</t>
        </is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7</v>
      </c>
      <c r="P272" s="2" t="n">
        <v>0</v>
      </c>
      <c r="Q272" s="2" t="n">
        <v>7</v>
      </c>
      <c r="R272" s="2" t="n">
        <v>7</v>
      </c>
      <c r="S272" s="2" t="n"/>
      <c r="T272" s="2">
        <f>IF(OR(S272="",R272=0),"",ROUND(S272*R272,2))</f>
        <v/>
      </c>
      <c r="U272" s="2" t="inlineStr"/>
    </row>
    <row r="273">
      <c r="A273" s="2" t="inlineStr">
        <is>
          <t>H</t>
        </is>
      </c>
      <c r="B273" s="2" t="inlineStr">
        <is>
          <t>CURTAIN WALLS</t>
        </is>
      </c>
      <c r="C273" s="2" t="inlineStr">
        <is>
          <t>A</t>
        </is>
      </c>
      <c r="D273" s="2" t="inlineStr">
        <is>
          <t>Ref. GL01, Top Hung Window Glass; overall size 800mm W x 1200mm H</t>
        </is>
      </c>
      <c r="E273" s="2" t="inlineStr">
        <is>
          <t>No</t>
        </is>
      </c>
      <c r="F273" s="2" t="n">
        <v>4</v>
      </c>
      <c r="G273" s="2" t="n">
        <v>4</v>
      </c>
      <c r="H273" s="2" t="n">
        <v>6</v>
      </c>
      <c r="I273" s="2" t="n">
        <v>6</v>
      </c>
      <c r="J273" s="2" t="n">
        <v>8</v>
      </c>
      <c r="K273" s="2" t="n">
        <v>8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36</v>
      </c>
      <c r="R273" s="2" t="n">
        <v>510</v>
      </c>
      <c r="S273" s="2" t="n"/>
      <c r="T273" s="2">
        <f>IF(OR(S273="",R273=0),"",ROUND(S273*R273,2))</f>
        <v/>
      </c>
      <c r="U273" s="2" t="inlineStr"/>
    </row>
    <row r="274">
      <c r="A274" s="2" t="inlineStr">
        <is>
          <t>H</t>
        </is>
      </c>
      <c r="B274" s="2" t="inlineStr">
        <is>
          <t>CURTAIN WALLS</t>
        </is>
      </c>
      <c r="C274" s="2" t="inlineStr">
        <is>
          <t>A</t>
        </is>
      </c>
      <c r="D274" s="2" t="inlineStr">
        <is>
          <t>Ref. GL10, Top Hung Window / Fixed Glass; overall size 1800mm W x 2780mm H</t>
        </is>
      </c>
      <c r="E274" s="2" t="inlineStr">
        <is>
          <t>No</t>
        </is>
      </c>
      <c r="F274" s="2" t="n">
        <v>2</v>
      </c>
      <c r="G274" s="2" t="n">
        <v>0</v>
      </c>
      <c r="H274" s="2" t="n">
        <v>2</v>
      </c>
      <c r="I274" s="2" t="n">
        <v>0</v>
      </c>
      <c r="J274" s="2" t="n">
        <v>2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6</v>
      </c>
      <c r="R274" s="2" t="n">
        <v>92</v>
      </c>
      <c r="S274" s="2" t="n"/>
      <c r="T274" s="2">
        <f>IF(OR(S274="",R274=0),"",ROUND(S274*R274,2))</f>
        <v/>
      </c>
      <c r="U274" s="2" t="inlineStr"/>
    </row>
    <row r="275">
      <c r="A275" s="2" t="inlineStr">
        <is>
          <t>H</t>
        </is>
      </c>
      <c r="B275" s="2" t="inlineStr">
        <is>
          <t>CURTAIN WALLS</t>
        </is>
      </c>
      <c r="C275" s="2" t="inlineStr">
        <is>
          <t>A</t>
        </is>
      </c>
      <c r="D275" s="2" t="inlineStr">
        <is>
          <t>Ref. GL11, overall size 3410mm W x 2680mm H</t>
        </is>
      </c>
      <c r="E275" s="2" t="inlineStr">
        <is>
          <t>No</t>
        </is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1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1</v>
      </c>
      <c r="R275" s="2" t="n">
        <v>18</v>
      </c>
      <c r="S275" s="2" t="n"/>
      <c r="T275" s="2">
        <f>IF(OR(S275="",R275=0),"",ROUND(S275*R275,2))</f>
        <v/>
      </c>
      <c r="U275" s="2" t="inlineStr"/>
    </row>
    <row r="276">
      <c r="A276" s="2" t="inlineStr">
        <is>
          <t>H</t>
        </is>
      </c>
      <c r="B276" s="2" t="inlineStr">
        <is>
          <t>CURTAIN WALLS</t>
        </is>
      </c>
      <c r="C276" s="2" t="inlineStr">
        <is>
          <t>B</t>
        </is>
      </c>
      <c r="D276" s="2" t="inlineStr">
        <is>
          <t>Ref. GL02, Top Hung Window / Fixed Glass; overall size 800mm W x 2880mm H</t>
        </is>
      </c>
      <c r="E276" s="2" t="inlineStr">
        <is>
          <t>No</t>
        </is>
      </c>
      <c r="F276" s="2" t="n">
        <v>2</v>
      </c>
      <c r="G276" s="2" t="n">
        <v>2</v>
      </c>
      <c r="H276" s="2" t="n">
        <v>2</v>
      </c>
      <c r="I276" s="2" t="n">
        <v>2</v>
      </c>
      <c r="J276" s="2" t="n">
        <v>2</v>
      </c>
      <c r="K276" s="2" t="n">
        <v>2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12</v>
      </c>
      <c r="R276" s="2" t="n">
        <v>184</v>
      </c>
      <c r="S276" s="2" t="n"/>
      <c r="T276" s="2">
        <f>IF(OR(S276="",R276=0),"",ROUND(S276*R276,2))</f>
        <v/>
      </c>
      <c r="U276" s="2" t="inlineStr"/>
    </row>
    <row r="277">
      <c r="A277" s="2" t="inlineStr">
        <is>
          <t>H</t>
        </is>
      </c>
      <c r="B277" s="2" t="inlineStr">
        <is>
          <t>CURTAIN WALLS</t>
        </is>
      </c>
      <c r="C277" s="2" t="inlineStr">
        <is>
          <t>B</t>
        </is>
      </c>
      <c r="D277" s="2" t="inlineStr">
        <is>
          <t>Ref. GL11, Sliding Door / Fixed Glass;  overall size 4500mm W x 2830mm H</t>
        </is>
      </c>
      <c r="E277" s="2" t="inlineStr">
        <is>
          <t>No</t>
        </is>
      </c>
      <c r="F277" s="2" t="n">
        <v>0</v>
      </c>
      <c r="G277" s="2" t="n">
        <v>2</v>
      </c>
      <c r="H277" s="2" t="n">
        <v>0</v>
      </c>
      <c r="I277" s="2" t="n">
        <v>4</v>
      </c>
      <c r="J277" s="2" t="n">
        <v>0</v>
      </c>
      <c r="K277" s="2" t="n">
        <v>6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  <c r="Q277" s="2" t="n">
        <v>12</v>
      </c>
      <c r="R277" s="2" t="n">
        <v>166</v>
      </c>
      <c r="S277" s="2" t="n"/>
      <c r="T277" s="2">
        <f>IF(OR(S277="",R277=0),"",ROUND(S277*R277,2))</f>
        <v/>
      </c>
      <c r="U277" s="2" t="inlineStr"/>
    </row>
    <row r="278">
      <c r="A278" s="2" t="inlineStr">
        <is>
          <t>H</t>
        </is>
      </c>
      <c r="B278" s="2" t="inlineStr">
        <is>
          <t>CURTAIN WALLS</t>
        </is>
      </c>
      <c r="C278" s="2" t="inlineStr">
        <is>
          <t>B</t>
        </is>
      </c>
      <c r="D278" s="2" t="inlineStr">
        <is>
          <t>Ref. GL11, overall size 2700mm W x 2680mm H</t>
        </is>
      </c>
      <c r="E278" s="2" t="inlineStr">
        <is>
          <t>No</t>
        </is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2</v>
      </c>
      <c r="N278" s="2" t="n">
        <v>0</v>
      </c>
      <c r="O278" s="2" t="n">
        <v>0</v>
      </c>
      <c r="P278" s="2" t="n">
        <v>0</v>
      </c>
      <c r="Q278" s="2" t="n">
        <v>2</v>
      </c>
      <c r="R278" s="2" t="n">
        <v>38</v>
      </c>
      <c r="S278" s="2" t="n"/>
      <c r="T278" s="2">
        <f>IF(OR(S278="",R278=0),"",ROUND(S278*R278,2))</f>
        <v/>
      </c>
      <c r="U278" s="2" t="inlineStr"/>
    </row>
    <row r="279">
      <c r="A279" s="2" t="inlineStr">
        <is>
          <t>H</t>
        </is>
      </c>
      <c r="B279" s="2" t="inlineStr">
        <is>
          <t>CURTAIN WALLS</t>
        </is>
      </c>
      <c r="C279" s="2" t="inlineStr">
        <is>
          <t>C</t>
        </is>
      </c>
      <c r="D279" s="2" t="inlineStr">
        <is>
          <t>Ref. GL03, Sliding Door / Fixed Glass; overall size 2960mm W x 2930mm H</t>
        </is>
      </c>
      <c r="E279" s="2" t="inlineStr">
        <is>
          <t>No</t>
        </is>
      </c>
      <c r="F279" s="2" t="n">
        <v>0</v>
      </c>
      <c r="G279" s="2" t="n">
        <v>4</v>
      </c>
      <c r="H279" s="2" t="n">
        <v>0</v>
      </c>
      <c r="I279" s="2" t="n">
        <v>4</v>
      </c>
      <c r="J279" s="2" t="n">
        <v>0</v>
      </c>
      <c r="K279" s="2" t="n">
        <v>4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12</v>
      </c>
      <c r="R279" s="2" t="n">
        <v>184</v>
      </c>
      <c r="S279" s="2" t="n"/>
      <c r="T279" s="2">
        <f>IF(OR(S279="",R279=0),"",ROUND(S279*R279,2))</f>
        <v/>
      </c>
      <c r="U279" s="2" t="inlineStr"/>
    </row>
    <row r="280">
      <c r="A280" s="2" t="inlineStr">
        <is>
          <t>H</t>
        </is>
      </c>
      <c r="B280" s="2" t="inlineStr">
        <is>
          <t>CURTAIN WALLS</t>
        </is>
      </c>
      <c r="C280" s="2" t="inlineStr">
        <is>
          <t>C</t>
        </is>
      </c>
      <c r="D280" s="2" t="inlineStr">
        <is>
          <t>Ref. GL11, Sliding Door / Fixed Glass;  overall size 3800mm W x 2830mm H</t>
        </is>
      </c>
      <c r="E280" s="2" t="inlineStr">
        <is>
          <t>No</t>
        </is>
      </c>
      <c r="F280" s="2" t="n">
        <v>2</v>
      </c>
      <c r="G280" s="2" t="n">
        <v>0</v>
      </c>
      <c r="H280" s="2" t="n">
        <v>2</v>
      </c>
      <c r="I280" s="2" t="n">
        <v>0</v>
      </c>
      <c r="J280" s="2" t="n">
        <v>2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6</v>
      </c>
      <c r="R280" s="2" t="n">
        <v>92</v>
      </c>
      <c r="S280" s="2" t="n"/>
      <c r="T280" s="2">
        <f>IF(OR(S280="",R280=0),"",ROUND(S280*R280,2))</f>
        <v/>
      </c>
      <c r="U280" s="2" t="inlineStr"/>
    </row>
    <row r="281">
      <c r="A281" s="2" t="inlineStr">
        <is>
          <t>H</t>
        </is>
      </c>
      <c r="B281" s="2" t="inlineStr">
        <is>
          <t>CURTAIN WALLS</t>
        </is>
      </c>
      <c r="C281" s="2" t="inlineStr">
        <is>
          <t>C</t>
        </is>
      </c>
      <c r="D281" s="2" t="inlineStr">
        <is>
          <t>Ref. GL12, overall size 1200mm W x 2700mm H</t>
        </is>
      </c>
      <c r="E281" s="2" t="inlineStr">
        <is>
          <t>No</t>
        </is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1</v>
      </c>
      <c r="M281" s="2" t="n">
        <v>1</v>
      </c>
      <c r="N281" s="2" t="n">
        <v>0</v>
      </c>
      <c r="O281" s="2" t="n">
        <v>0</v>
      </c>
      <c r="P281" s="2" t="n">
        <v>0</v>
      </c>
      <c r="Q281" s="2" t="n">
        <v>2</v>
      </c>
      <c r="R281" s="2" t="n">
        <v>37</v>
      </c>
      <c r="S281" s="2" t="n"/>
      <c r="T281" s="2">
        <f>IF(OR(S281="",R281=0),"",ROUND(S281*R281,2))</f>
        <v/>
      </c>
      <c r="U281" s="2" t="inlineStr"/>
    </row>
    <row r="282">
      <c r="A282" s="2" t="inlineStr">
        <is>
          <t>H</t>
        </is>
      </c>
      <c r="B282" s="2" t="inlineStr">
        <is>
          <t>CURTAIN WALLS</t>
        </is>
      </c>
      <c r="C282" s="2" t="inlineStr">
        <is>
          <t>D</t>
        </is>
      </c>
      <c r="D282" s="2" t="inlineStr">
        <is>
          <t>Ref. GL03, Sliding Door / Fixed Glass; overall size 1800mm W x 2930mm H</t>
        </is>
      </c>
      <c r="E282" s="2" t="inlineStr">
        <is>
          <t>No</t>
        </is>
      </c>
      <c r="F282" s="2" t="n">
        <v>2</v>
      </c>
      <c r="G282" s="2" t="n">
        <v>0</v>
      </c>
      <c r="H282" s="2" t="n">
        <v>2</v>
      </c>
      <c r="I282" s="2" t="n">
        <v>0</v>
      </c>
      <c r="J282" s="2" t="n">
        <v>2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  <c r="Q282" s="2" t="n">
        <v>6</v>
      </c>
      <c r="R282" s="2" t="n">
        <v>92</v>
      </c>
      <c r="S282" s="2" t="n"/>
      <c r="T282" s="2">
        <f>IF(OR(S282="",R282=0),"",ROUND(S282*R282,2))</f>
        <v/>
      </c>
      <c r="U282" s="2" t="inlineStr"/>
    </row>
    <row r="283">
      <c r="A283" s="2" t="inlineStr">
        <is>
          <t>H</t>
        </is>
      </c>
      <c r="B283" s="2" t="inlineStr">
        <is>
          <t>CURTAIN WALLS</t>
        </is>
      </c>
      <c r="C283" s="2" t="inlineStr">
        <is>
          <t>D</t>
        </is>
      </c>
      <c r="D283" s="2" t="inlineStr">
        <is>
          <t>Ref. GL12, Fixed Window Glass; overall size 650mm W x 2830mm H</t>
        </is>
      </c>
      <c r="E283" s="2" t="inlineStr">
        <is>
          <t>No</t>
        </is>
      </c>
      <c r="F283" s="2" t="n">
        <v>2</v>
      </c>
      <c r="G283" s="2" t="n">
        <v>0</v>
      </c>
      <c r="H283" s="2" t="n">
        <v>4</v>
      </c>
      <c r="I283" s="2" t="n">
        <v>0</v>
      </c>
      <c r="J283" s="2" t="n">
        <v>6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  <c r="Q283" s="2" t="n">
        <v>12</v>
      </c>
      <c r="R283" s="2" t="n">
        <v>160</v>
      </c>
      <c r="S283" s="2" t="n"/>
      <c r="T283" s="2">
        <f>IF(OR(S283="",R283=0),"",ROUND(S283*R283,2))</f>
        <v/>
      </c>
      <c r="U283" s="2" t="inlineStr"/>
    </row>
    <row r="284">
      <c r="A284" s="2" t="inlineStr">
        <is>
          <t>H</t>
        </is>
      </c>
      <c r="B284" s="2" t="inlineStr">
        <is>
          <t>CURTAIN WALLS</t>
        </is>
      </c>
      <c r="C284" s="2" t="inlineStr">
        <is>
          <t>D</t>
        </is>
      </c>
      <c r="D284" s="2" t="inlineStr">
        <is>
          <t>Ref. GL13, overall size 3960mm W x 2985mm H</t>
        </is>
      </c>
      <c r="E284" s="2" t="inlineStr">
        <is>
          <t>No</t>
        </is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1</v>
      </c>
      <c r="M284" s="2" t="n">
        <v>1</v>
      </c>
      <c r="N284" s="2" t="n">
        <v>0</v>
      </c>
      <c r="O284" s="2" t="n">
        <v>0</v>
      </c>
      <c r="P284" s="2" t="n">
        <v>0</v>
      </c>
      <c r="Q284" s="2" t="n">
        <v>2</v>
      </c>
      <c r="R284" s="2" t="n">
        <v>37</v>
      </c>
      <c r="S284" s="2" t="n"/>
      <c r="T284" s="2">
        <f>IF(OR(S284="",R284=0),"",ROUND(S284*R284,2))</f>
        <v/>
      </c>
      <c r="U284" s="2" t="inlineStr"/>
    </row>
    <row r="285">
      <c r="A285" s="2" t="inlineStr">
        <is>
          <t>H</t>
        </is>
      </c>
      <c r="B285" s="2" t="inlineStr">
        <is>
          <t>CURTAIN WALLS</t>
        </is>
      </c>
      <c r="C285" s="2" t="inlineStr">
        <is>
          <t>E</t>
        </is>
      </c>
      <c r="D285" s="2" t="inlineStr">
        <is>
          <t>Ref. GL04, Sliding Door / Fixed Glass;  overall size 6195mm W x 2930mm H</t>
        </is>
      </c>
      <c r="E285" s="2" t="inlineStr">
        <is>
          <t>No</t>
        </is>
      </c>
      <c r="F285" s="2" t="n">
        <v>0</v>
      </c>
      <c r="G285" s="2" t="n">
        <v>2</v>
      </c>
      <c r="H285" s="2" t="n">
        <v>0</v>
      </c>
      <c r="I285" s="2" t="n">
        <v>4</v>
      </c>
      <c r="J285" s="2" t="n">
        <v>0</v>
      </c>
      <c r="K285" s="2" t="n">
        <v>6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  <c r="Q285" s="2" t="n">
        <v>12</v>
      </c>
      <c r="R285" s="2" t="n">
        <v>166</v>
      </c>
      <c r="S285" s="2" t="n"/>
      <c r="T285" s="2">
        <f>IF(OR(S285="",R285=0),"",ROUND(S285*R285,2))</f>
        <v/>
      </c>
      <c r="U285" s="2" t="inlineStr"/>
    </row>
    <row r="286">
      <c r="A286" s="2" t="inlineStr">
        <is>
          <t>H</t>
        </is>
      </c>
      <c r="B286" s="2" t="inlineStr">
        <is>
          <t>CURTAIN WALLS</t>
        </is>
      </c>
      <c r="C286" s="2" t="inlineStr">
        <is>
          <t>E</t>
        </is>
      </c>
      <c r="D286" s="2" t="inlineStr">
        <is>
          <t>Ref. GL13, Sliding Door / Fixed Glass; overall size 4000mm W x 2830mm H</t>
        </is>
      </c>
      <c r="E286" s="2" t="inlineStr">
        <is>
          <t>No</t>
        </is>
      </c>
      <c r="F286" s="2" t="n">
        <v>2</v>
      </c>
      <c r="G286" s="2" t="n">
        <v>0</v>
      </c>
      <c r="H286" s="2" t="n">
        <v>4</v>
      </c>
      <c r="I286" s="2" t="n">
        <v>0</v>
      </c>
      <c r="J286" s="2" t="n">
        <v>6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  <c r="Q286" s="2" t="n">
        <v>12</v>
      </c>
      <c r="R286" s="2" t="n">
        <v>160</v>
      </c>
      <c r="S286" s="2" t="n"/>
      <c r="T286" s="2">
        <f>IF(OR(S286="",R286=0),"",ROUND(S286*R286,2))</f>
        <v/>
      </c>
      <c r="U286" s="2" t="inlineStr"/>
    </row>
    <row r="287">
      <c r="A287" s="2" t="inlineStr">
        <is>
          <t>H</t>
        </is>
      </c>
      <c r="B287" s="2" t="inlineStr">
        <is>
          <t>CURTAIN WALLS</t>
        </is>
      </c>
      <c r="C287" s="2" t="inlineStr">
        <is>
          <t>E</t>
        </is>
      </c>
      <c r="D287" s="2" t="inlineStr">
        <is>
          <t>Ref. GL14, overall size 600mm W x 2380mm H</t>
        </is>
      </c>
      <c r="E287" s="2" t="inlineStr">
        <is>
          <t>No</t>
        </is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1</v>
      </c>
      <c r="M287" s="2" t="n">
        <v>1</v>
      </c>
      <c r="N287" s="2" t="n">
        <v>0</v>
      </c>
      <c r="O287" s="2" t="n">
        <v>0</v>
      </c>
      <c r="P287" s="2" t="n">
        <v>0</v>
      </c>
      <c r="Q287" s="2" t="n">
        <v>2</v>
      </c>
      <c r="R287" s="2" t="n">
        <v>37</v>
      </c>
      <c r="S287" s="2" t="n"/>
      <c r="T287" s="2">
        <f>IF(OR(S287="",R287=0),"",ROUND(S287*R287,2))</f>
        <v/>
      </c>
      <c r="U287" s="2" t="inlineStr"/>
    </row>
    <row r="288">
      <c r="A288" s="2" t="inlineStr">
        <is>
          <t>H</t>
        </is>
      </c>
      <c r="B288" s="2" t="inlineStr">
        <is>
          <t>CURTAIN WALLS</t>
        </is>
      </c>
      <c r="C288" s="2" t="inlineStr">
        <is>
          <t>F</t>
        </is>
      </c>
      <c r="D288" s="2" t="inlineStr">
        <is>
          <t>Ref. GL04, Sliding Door / Fixed Glass;  overall size 3000mm W x 2930mm H</t>
        </is>
      </c>
      <c r="E288" s="2" t="inlineStr">
        <is>
          <t>No</t>
        </is>
      </c>
      <c r="F288" s="2" t="n">
        <v>2</v>
      </c>
      <c r="G288" s="2" t="n">
        <v>0</v>
      </c>
      <c r="H288" s="2" t="n">
        <v>2</v>
      </c>
      <c r="I288" s="2" t="n">
        <v>0</v>
      </c>
      <c r="J288" s="2" t="n">
        <v>2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6</v>
      </c>
      <c r="R288" s="2" t="n">
        <v>92</v>
      </c>
      <c r="S288" s="2" t="n"/>
      <c r="T288" s="2">
        <f>IF(OR(S288="",R288=0),"",ROUND(S288*R288,2))</f>
        <v/>
      </c>
      <c r="U288" s="2" t="inlineStr"/>
    </row>
    <row r="289">
      <c r="A289" s="2" t="inlineStr">
        <is>
          <t>H</t>
        </is>
      </c>
      <c r="B289" s="2" t="inlineStr">
        <is>
          <t>CURTAIN WALLS</t>
        </is>
      </c>
      <c r="C289" s="2" t="inlineStr">
        <is>
          <t>F</t>
        </is>
      </c>
      <c r="D289" s="2" t="inlineStr">
        <is>
          <t>Ref. GL14, Side Hung Door Glass; overall size 850mm W x 2780mm H</t>
        </is>
      </c>
      <c r="E289" s="2" t="inlineStr">
        <is>
          <t>No</t>
        </is>
      </c>
      <c r="F289" s="2" t="n">
        <v>2</v>
      </c>
      <c r="G289" s="2" t="n">
        <v>0</v>
      </c>
      <c r="H289" s="2" t="n">
        <v>2</v>
      </c>
      <c r="I289" s="2" t="n">
        <v>0</v>
      </c>
      <c r="J289" s="2" t="n">
        <v>2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  <c r="Q289" s="2" t="n">
        <v>6</v>
      </c>
      <c r="R289" s="2" t="n">
        <v>92</v>
      </c>
      <c r="S289" s="2" t="n"/>
      <c r="T289" s="2">
        <f>IF(OR(S289="",R289=0),"",ROUND(S289*R289,2))</f>
        <v/>
      </c>
      <c r="U289" s="2" t="inlineStr"/>
    </row>
    <row r="290">
      <c r="A290" s="2" t="inlineStr">
        <is>
          <t>H</t>
        </is>
      </c>
      <c r="B290" s="2" t="inlineStr">
        <is>
          <t>CURTAIN WALLS</t>
        </is>
      </c>
      <c r="C290" s="2" t="inlineStr">
        <is>
          <t>F</t>
        </is>
      </c>
      <c r="D290" s="2" t="inlineStr">
        <is>
          <t>Ref. GL15, overall size 1000mm W x 2950mm H</t>
        </is>
      </c>
      <c r="E290" s="2" t="inlineStr">
        <is>
          <t>No</t>
        </is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1</v>
      </c>
      <c r="M290" s="2" t="n">
        <v>1</v>
      </c>
      <c r="N290" s="2" t="n">
        <v>0</v>
      </c>
      <c r="O290" s="2" t="n">
        <v>0</v>
      </c>
      <c r="P290" s="2" t="n">
        <v>0</v>
      </c>
      <c r="Q290" s="2" t="n">
        <v>2</v>
      </c>
      <c r="R290" s="2" t="n">
        <v>37</v>
      </c>
      <c r="S290" s="2" t="n"/>
      <c r="T290" s="2">
        <f>IF(OR(S290="",R290=0),"",ROUND(S290*R290,2))</f>
        <v/>
      </c>
      <c r="U290" s="2" t="inlineStr"/>
    </row>
    <row r="291">
      <c r="A291" s="2" t="inlineStr">
        <is>
          <t>H</t>
        </is>
      </c>
      <c r="B291" s="2" t="inlineStr">
        <is>
          <t>CURTAIN WALLS</t>
        </is>
      </c>
      <c r="C291" s="2" t="inlineStr">
        <is>
          <t>G</t>
        </is>
      </c>
      <c r="D291" s="2" t="inlineStr">
        <is>
          <t>Ref. GL05, Top Hung Window / Fixed Glass; overall size 2400mm W x 2780mm H</t>
        </is>
      </c>
      <c r="E291" s="2" t="inlineStr">
        <is>
          <t>No</t>
        </is>
      </c>
      <c r="F291" s="2" t="n">
        <v>0</v>
      </c>
      <c r="G291" s="2" t="n">
        <v>8</v>
      </c>
      <c r="H291" s="2" t="n">
        <v>0</v>
      </c>
      <c r="I291" s="2" t="n">
        <v>12</v>
      </c>
      <c r="J291" s="2" t="n">
        <v>0</v>
      </c>
      <c r="K291" s="2" t="n">
        <v>16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36</v>
      </c>
      <c r="R291" s="2" t="n">
        <v>516</v>
      </c>
      <c r="S291" s="2" t="n"/>
      <c r="T291" s="2">
        <f>IF(OR(S291="",R291=0),"",ROUND(S291*R291,2))</f>
        <v/>
      </c>
      <c r="U291" s="2" t="inlineStr"/>
    </row>
    <row r="292">
      <c r="A292" s="2" t="inlineStr">
        <is>
          <t>H</t>
        </is>
      </c>
      <c r="B292" s="2" t="inlineStr">
        <is>
          <t>CURTAIN WALLS</t>
        </is>
      </c>
      <c r="C292" s="2" t="inlineStr">
        <is>
          <t>G</t>
        </is>
      </c>
      <c r="D292" s="2" t="inlineStr">
        <is>
          <t>Ref. GL01, overall size 2900mm W x 3130mm H</t>
        </is>
      </c>
      <c r="E292" s="2" t="inlineStr">
        <is>
          <t>No</t>
        </is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1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1</v>
      </c>
      <c r="R292" s="2" t="n">
        <v>18</v>
      </c>
      <c r="S292" s="2" t="n"/>
      <c r="T292" s="2">
        <f>IF(OR(S292="",R292=0),"",ROUND(S292*R292,2))</f>
        <v/>
      </c>
      <c r="U292" s="2" t="inlineStr"/>
    </row>
    <row r="293">
      <c r="A293" s="2" t="inlineStr">
        <is>
          <t>H</t>
        </is>
      </c>
      <c r="B293" s="2" t="inlineStr">
        <is>
          <t>CURTAIN WALLS</t>
        </is>
      </c>
      <c r="C293" s="2" t="inlineStr">
        <is>
          <t>G</t>
        </is>
      </c>
      <c r="D293" s="2" t="inlineStr">
        <is>
          <t>Ref. GL16, overall size 4260mm W x 2680mm H</t>
        </is>
      </c>
      <c r="E293" s="2" t="inlineStr">
        <is>
          <t>No</t>
        </is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1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1</v>
      </c>
      <c r="R293" s="2" t="n">
        <v>18</v>
      </c>
      <c r="S293" s="2" t="n"/>
      <c r="T293" s="2">
        <f>IF(OR(S293="",R293=0),"",ROUND(S293*R293,2))</f>
        <v/>
      </c>
      <c r="U293" s="2" t="inlineStr"/>
    </row>
    <row r="294">
      <c r="A294" s="2" t="inlineStr">
        <is>
          <t>H</t>
        </is>
      </c>
      <c r="B294" s="2" t="inlineStr">
        <is>
          <t>CURTAIN WALLS</t>
        </is>
      </c>
      <c r="C294" s="2" t="inlineStr">
        <is>
          <t>H</t>
        </is>
      </c>
      <c r="D294" s="2" t="inlineStr">
        <is>
          <t>Ref. GL05, Sliding Door / Fixed Glass; overall size 6195mm W x 2930mm H</t>
        </is>
      </c>
      <c r="E294" s="2" t="inlineStr">
        <is>
          <t>No</t>
        </is>
      </c>
      <c r="F294" s="2" t="n">
        <v>2</v>
      </c>
      <c r="G294" s="2" t="n">
        <v>0</v>
      </c>
      <c r="H294" s="2" t="n">
        <v>4</v>
      </c>
      <c r="I294" s="2" t="n">
        <v>0</v>
      </c>
      <c r="J294" s="2" t="n">
        <v>6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12</v>
      </c>
      <c r="R294" s="2" t="n">
        <v>160</v>
      </c>
      <c r="S294" s="2" t="n"/>
      <c r="T294" s="2">
        <f>IF(OR(S294="",R294=0),"",ROUND(S294*R294,2))</f>
        <v/>
      </c>
      <c r="U294" s="2" t="inlineStr"/>
    </row>
    <row r="295">
      <c r="A295" s="2" t="inlineStr">
        <is>
          <t>H</t>
        </is>
      </c>
      <c r="B295" s="2" t="inlineStr">
        <is>
          <t>CURTAIN WALLS</t>
        </is>
      </c>
      <c r="C295" s="2" t="inlineStr">
        <is>
          <t>H</t>
        </is>
      </c>
      <c r="D295" s="2" t="inlineStr">
        <is>
          <t>Ref. GL01, overall size 1500mm W x 3130mm H</t>
        </is>
      </c>
      <c r="E295" s="2" t="inlineStr">
        <is>
          <t>No</t>
        </is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1</v>
      </c>
      <c r="N295" s="2" t="n">
        <v>0</v>
      </c>
      <c r="O295" s="2" t="n">
        <v>0</v>
      </c>
      <c r="P295" s="2" t="n">
        <v>0</v>
      </c>
      <c r="Q295" s="2" t="n">
        <v>1</v>
      </c>
      <c r="R295" s="2" t="n">
        <v>19</v>
      </c>
      <c r="S295" s="2" t="n"/>
      <c r="T295" s="2">
        <f>IF(OR(S295="",R295=0),"",ROUND(S295*R295,2))</f>
        <v/>
      </c>
      <c r="U295" s="2" t="inlineStr"/>
    </row>
    <row r="296">
      <c r="A296" s="2" t="inlineStr">
        <is>
          <t>H</t>
        </is>
      </c>
      <c r="B296" s="2" t="inlineStr">
        <is>
          <t>CURTAIN WALLS</t>
        </is>
      </c>
      <c r="C296" s="2" t="inlineStr">
        <is>
          <t>H</t>
        </is>
      </c>
      <c r="D296" s="2" t="inlineStr">
        <is>
          <t>Ref. GL-01, fixed glass window, size 1200mm W x 3900mm H</t>
        </is>
      </c>
      <c r="E296" s="2" t="inlineStr">
        <is>
          <t>No</t>
        </is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3</v>
      </c>
      <c r="O296" s="2" t="n">
        <v>0</v>
      </c>
      <c r="P296" s="2" t="n">
        <v>0</v>
      </c>
      <c r="Q296" s="2" t="n">
        <v>3</v>
      </c>
      <c r="R296" s="2" t="n">
        <v>3</v>
      </c>
      <c r="S296" s="2" t="n"/>
      <c r="T296" s="2">
        <f>IF(OR(S296="",R296=0),"",ROUND(S296*R296,2))</f>
        <v/>
      </c>
      <c r="U296" s="2" t="inlineStr"/>
    </row>
    <row r="297">
      <c r="A297" s="2" t="inlineStr">
        <is>
          <t>H</t>
        </is>
      </c>
      <c r="B297" s="2" t="inlineStr">
        <is>
          <t>CURTAIN WALLS</t>
        </is>
      </c>
      <c r="C297" s="2" t="inlineStr">
        <is>
          <t>J</t>
        </is>
      </c>
      <c r="D297" s="2" t="inlineStr">
        <is>
          <t>Ref. GL06, Top Hung Window / Fixed Glass;  overall size 960mm W x 2780mm H</t>
        </is>
      </c>
      <c r="E297" s="2" t="inlineStr">
        <is>
          <t>No</t>
        </is>
      </c>
      <c r="F297" s="2" t="n">
        <v>0</v>
      </c>
      <c r="G297" s="2" t="n">
        <v>4</v>
      </c>
      <c r="H297" s="2" t="n">
        <v>0</v>
      </c>
      <c r="I297" s="2" t="n">
        <v>4</v>
      </c>
      <c r="J297" s="2" t="n">
        <v>0</v>
      </c>
      <c r="K297" s="2" t="n">
        <v>4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  <c r="Q297" s="2" t="n">
        <v>12</v>
      </c>
      <c r="R297" s="2" t="n">
        <v>184</v>
      </c>
      <c r="S297" s="2" t="n"/>
      <c r="T297" s="2">
        <f>IF(OR(S297="",R297=0),"",ROUND(S297*R297,2))</f>
        <v/>
      </c>
      <c r="U297" s="2" t="inlineStr"/>
    </row>
    <row r="298">
      <c r="A298" s="2" t="inlineStr">
        <is>
          <t>H</t>
        </is>
      </c>
      <c r="B298" s="2" t="inlineStr">
        <is>
          <t>CURTAIN WALLS</t>
        </is>
      </c>
      <c r="C298" s="2" t="inlineStr">
        <is>
          <t>J</t>
        </is>
      </c>
      <c r="D298" s="2" t="inlineStr">
        <is>
          <t>Ref. GL02, overall size 2400mm W x 3130mm H</t>
        </is>
      </c>
      <c r="E298" s="2" t="inlineStr">
        <is>
          <t>No</t>
        </is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1</v>
      </c>
      <c r="M298" s="2" t="n">
        <v>1</v>
      </c>
      <c r="N298" s="2" t="n">
        <v>0</v>
      </c>
      <c r="O298" s="2" t="n">
        <v>0</v>
      </c>
      <c r="P298" s="2" t="n">
        <v>0</v>
      </c>
      <c r="Q298" s="2" t="n">
        <v>2</v>
      </c>
      <c r="R298" s="2" t="n">
        <v>37</v>
      </c>
      <c r="S298" s="2" t="n"/>
      <c r="T298" s="2">
        <f>IF(OR(S298="",R298=0),"",ROUND(S298*R298,2))</f>
        <v/>
      </c>
      <c r="U298" s="2" t="inlineStr"/>
    </row>
    <row r="299">
      <c r="A299" s="2" t="inlineStr">
        <is>
          <t>H</t>
        </is>
      </c>
      <c r="B299" s="2" t="inlineStr">
        <is>
          <t>CURTAIN WALLS</t>
        </is>
      </c>
      <c r="C299" s="2" t="inlineStr">
        <is>
          <t>J</t>
        </is>
      </c>
      <c r="D299" s="2" t="inlineStr">
        <is>
          <t>Ref. GL-02, fixed glass window, size 2300mm W x 3900mm H</t>
        </is>
      </c>
      <c r="E299" s="2" t="inlineStr">
        <is>
          <t>No</t>
        </is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4</v>
      </c>
      <c r="O299" s="2" t="n">
        <v>0</v>
      </c>
      <c r="P299" s="2" t="n">
        <v>0</v>
      </c>
      <c r="Q299" s="2" t="n">
        <v>4</v>
      </c>
      <c r="R299" s="2" t="n">
        <v>4</v>
      </c>
      <c r="S299" s="2" t="n"/>
      <c r="T299" s="2">
        <f>IF(OR(S299="",R299=0),"",ROUND(S299*R299,2))</f>
        <v/>
      </c>
      <c r="U299" s="2" t="inlineStr"/>
    </row>
    <row r="300">
      <c r="A300" s="2" t="inlineStr">
        <is>
          <t>H</t>
        </is>
      </c>
      <c r="B300" s="2" t="inlineStr">
        <is>
          <t>CURTAIN WALLS</t>
        </is>
      </c>
      <c r="C300" s="2" t="inlineStr">
        <is>
          <t>K</t>
        </is>
      </c>
      <c r="D300" s="2" t="inlineStr">
        <is>
          <t>Ref. GL06, Top Hung Window / Fixed Glass;  overall size 2500mm W x 2780mm H</t>
        </is>
      </c>
      <c r="E300" s="2" t="inlineStr">
        <is>
          <t>No</t>
        </is>
      </c>
      <c r="F300" s="2" t="n">
        <v>4</v>
      </c>
      <c r="G300" s="2" t="n">
        <v>0</v>
      </c>
      <c r="H300" s="2" t="n">
        <v>8</v>
      </c>
      <c r="I300" s="2" t="n">
        <v>0</v>
      </c>
      <c r="J300" s="2" t="n">
        <v>12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  <c r="Q300" s="2" t="n">
        <v>24</v>
      </c>
      <c r="R300" s="2" t="n">
        <v>320</v>
      </c>
      <c r="S300" s="2" t="n"/>
      <c r="T300" s="2">
        <f>IF(OR(S300="",R300=0),"",ROUND(S300*R300,2))</f>
        <v/>
      </c>
      <c r="U300" s="2" t="inlineStr"/>
    </row>
    <row r="301">
      <c r="A301" s="2" t="inlineStr">
        <is>
          <t>H</t>
        </is>
      </c>
      <c r="B301" s="2" t="inlineStr">
        <is>
          <t>CURTAIN WALLS</t>
        </is>
      </c>
      <c r="C301" s="2" t="inlineStr">
        <is>
          <t>K</t>
        </is>
      </c>
      <c r="D301" s="2" t="inlineStr">
        <is>
          <t>Ref. GL03, overall size 3300mm W x 3165mm H</t>
        </is>
      </c>
      <c r="E301" s="2" t="inlineStr">
        <is>
          <t>No</t>
        </is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1</v>
      </c>
      <c r="M301" s="2" t="n">
        <v>2</v>
      </c>
      <c r="N301" s="2" t="n">
        <v>0</v>
      </c>
      <c r="O301" s="2" t="n">
        <v>0</v>
      </c>
      <c r="P301" s="2" t="n">
        <v>0</v>
      </c>
      <c r="Q301" s="2" t="n">
        <v>3</v>
      </c>
      <c r="R301" s="2" t="n">
        <v>56</v>
      </c>
      <c r="S301" s="2" t="n"/>
      <c r="T301" s="2">
        <f>IF(OR(S301="",R301=0),"",ROUND(S301*R301,2))</f>
        <v/>
      </c>
      <c r="U301" s="2" t="inlineStr"/>
    </row>
    <row r="302">
      <c r="A302" s="2" t="inlineStr">
        <is>
          <t>H</t>
        </is>
      </c>
      <c r="B302" s="2" t="inlineStr">
        <is>
          <t>CURTAIN WALLS</t>
        </is>
      </c>
      <c r="C302" s="2" t="inlineStr">
        <is>
          <t>K</t>
        </is>
      </c>
      <c r="D302" s="2" t="inlineStr">
        <is>
          <t>Ref. GL-03, fixed and openable glass window, size 4600mm W x 3900mm H</t>
        </is>
      </c>
      <c r="E302" s="2" t="inlineStr">
        <is>
          <t>No</t>
        </is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4</v>
      </c>
      <c r="O302" s="2" t="n">
        <v>0</v>
      </c>
      <c r="P302" s="2" t="n">
        <v>0</v>
      </c>
      <c r="Q302" s="2" t="n">
        <v>4</v>
      </c>
      <c r="R302" s="2" t="n">
        <v>4</v>
      </c>
      <c r="S302" s="2" t="n"/>
      <c r="T302" s="2">
        <f>IF(OR(S302="",R302=0),"",ROUND(S302*R302,2))</f>
        <v/>
      </c>
      <c r="U302" s="2" t="inlineStr"/>
    </row>
    <row r="303">
      <c r="A303" s="2" t="inlineStr">
        <is>
          <t>H</t>
        </is>
      </c>
      <c r="B303" s="2" t="inlineStr">
        <is>
          <t>CURTAIN WALLS</t>
        </is>
      </c>
      <c r="C303" s="2" t="inlineStr">
        <is>
          <t>L</t>
        </is>
      </c>
      <c r="D303" s="2" t="inlineStr">
        <is>
          <t>Ref. GL07, Fixed Glass; overall size 475mm W x 2780mm H</t>
        </is>
      </c>
      <c r="E303" s="2" t="inlineStr">
        <is>
          <t>No</t>
        </is>
      </c>
      <c r="F303" s="2" t="n">
        <v>0</v>
      </c>
      <c r="G303" s="2" t="n">
        <v>4</v>
      </c>
      <c r="H303" s="2" t="n">
        <v>0</v>
      </c>
      <c r="I303" s="2" t="n">
        <v>2</v>
      </c>
      <c r="J303" s="2" t="n">
        <v>0</v>
      </c>
      <c r="K303" s="2" t="n">
        <v>4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  <c r="Q303" s="2" t="n">
        <v>10</v>
      </c>
      <c r="R303" s="2" t="n">
        <v>138</v>
      </c>
      <c r="S303" s="2" t="n"/>
      <c r="T303" s="2">
        <f>IF(OR(S303="",R303=0),"",ROUND(S303*R303,2))</f>
        <v/>
      </c>
      <c r="U303" s="2" t="inlineStr"/>
    </row>
    <row r="304">
      <c r="A304" s="2" t="inlineStr">
        <is>
          <t>H</t>
        </is>
      </c>
      <c r="B304" s="2" t="inlineStr">
        <is>
          <t>CURTAIN WALLS</t>
        </is>
      </c>
      <c r="C304" s="2" t="inlineStr">
        <is>
          <t>L</t>
        </is>
      </c>
      <c r="D304" s="2" t="inlineStr">
        <is>
          <t>Ref. GL04, overall size 1100mm W x 2700mm H</t>
        </is>
      </c>
      <c r="E304" s="2" t="inlineStr">
        <is>
          <t>No</t>
        </is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1</v>
      </c>
      <c r="M304" s="2" t="n">
        <v>2</v>
      </c>
      <c r="N304" s="2" t="n">
        <v>0</v>
      </c>
      <c r="O304" s="2" t="n">
        <v>0</v>
      </c>
      <c r="P304" s="2" t="n">
        <v>0</v>
      </c>
      <c r="Q304" s="2" t="n">
        <v>3</v>
      </c>
      <c r="R304" s="2" t="n">
        <v>56</v>
      </c>
      <c r="S304" s="2" t="n"/>
      <c r="T304" s="2">
        <f>IF(OR(S304="",R304=0),"",ROUND(S304*R304,2))</f>
        <v/>
      </c>
      <c r="U304" s="2" t="inlineStr"/>
    </row>
    <row r="305">
      <c r="A305" s="2" t="inlineStr">
        <is>
          <t>H</t>
        </is>
      </c>
      <c r="B305" s="2" t="inlineStr">
        <is>
          <t>CURTAIN WALLS</t>
        </is>
      </c>
      <c r="C305" s="2" t="inlineStr">
        <is>
          <t>L</t>
        </is>
      </c>
      <c r="D305" s="2" t="inlineStr">
        <is>
          <t>Ref. GL-04, fixed glass window, size 4500mm W x 3900mm H</t>
        </is>
      </c>
      <c r="E305" s="2" t="inlineStr">
        <is>
          <t>No</t>
        </is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2</v>
      </c>
      <c r="O305" s="2" t="n">
        <v>0</v>
      </c>
      <c r="P305" s="2" t="n">
        <v>0</v>
      </c>
      <c r="Q305" s="2" t="n">
        <v>2</v>
      </c>
      <c r="R305" s="2" t="n">
        <v>2</v>
      </c>
      <c r="S305" s="2" t="n"/>
      <c r="T305" s="2">
        <f>IF(OR(S305="",R305=0),"",ROUND(S305*R305,2))</f>
        <v/>
      </c>
      <c r="U305" s="2" t="inlineStr"/>
    </row>
    <row r="306">
      <c r="A306" s="2" t="inlineStr">
        <is>
          <t>H</t>
        </is>
      </c>
      <c r="B306" s="2" t="inlineStr">
        <is>
          <t>CURTAIN WALLS</t>
        </is>
      </c>
      <c r="C306" s="2" t="inlineStr">
        <is>
          <t>M</t>
        </is>
      </c>
      <c r="D306" s="2" t="inlineStr">
        <is>
          <t>Ref. GL07, Top Hung Window / Fixed Glass; overall size 2950mm W x 2780mm H</t>
        </is>
      </c>
      <c r="E306" s="2" t="inlineStr">
        <is>
          <t>No</t>
        </is>
      </c>
      <c r="F306" s="2" t="n">
        <v>2</v>
      </c>
      <c r="G306" s="2" t="n">
        <v>0</v>
      </c>
      <c r="H306" s="2" t="n">
        <v>2</v>
      </c>
      <c r="I306" s="2" t="n">
        <v>0</v>
      </c>
      <c r="J306" s="2" t="n">
        <v>2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  <c r="Q306" s="2" t="n">
        <v>6</v>
      </c>
      <c r="R306" s="2" t="n">
        <v>92</v>
      </c>
      <c r="S306" s="2" t="n"/>
      <c r="T306" s="2">
        <f>IF(OR(S306="",R306=0),"",ROUND(S306*R306,2))</f>
        <v/>
      </c>
      <c r="U306" s="2" t="inlineStr"/>
    </row>
    <row r="307">
      <c r="A307" s="2" t="inlineStr">
        <is>
          <t>H</t>
        </is>
      </c>
      <c r="B307" s="2" t="inlineStr">
        <is>
          <t>CURTAIN WALLS</t>
        </is>
      </c>
      <c r="C307" s="2" t="inlineStr">
        <is>
          <t>M</t>
        </is>
      </c>
      <c r="D307" s="2" t="inlineStr">
        <is>
          <t>Ref. GL05, overall size 950mm W x 2680mm H</t>
        </is>
      </c>
      <c r="E307" s="2" t="inlineStr">
        <is>
          <t>No</t>
        </is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1</v>
      </c>
      <c r="M307" s="2" t="n">
        <v>1</v>
      </c>
      <c r="N307" s="2" t="n">
        <v>0</v>
      </c>
      <c r="O307" s="2" t="n">
        <v>0</v>
      </c>
      <c r="P307" s="2" t="n">
        <v>0</v>
      </c>
      <c r="Q307" s="2" t="n">
        <v>2</v>
      </c>
      <c r="R307" s="2" t="n">
        <v>37</v>
      </c>
      <c r="S307" s="2" t="n"/>
      <c r="T307" s="2">
        <f>IF(OR(S307="",R307=0),"",ROUND(S307*R307,2))</f>
        <v/>
      </c>
      <c r="U307" s="2" t="inlineStr"/>
    </row>
    <row r="308">
      <c r="A308" s="2" t="inlineStr">
        <is>
          <t>H</t>
        </is>
      </c>
      <c r="B308" s="2" t="inlineStr">
        <is>
          <t>CURTAIN WALLS</t>
        </is>
      </c>
      <c r="C308" s="2" t="inlineStr">
        <is>
          <t>M</t>
        </is>
      </c>
      <c r="D308" s="2" t="inlineStr">
        <is>
          <t>Ref. GL-05, fixed glass window, size 3200mm W x 3900mm H</t>
        </is>
      </c>
      <c r="E308" s="2" t="inlineStr">
        <is>
          <t>No</t>
        </is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1</v>
      </c>
      <c r="O308" s="2" t="n">
        <v>0</v>
      </c>
      <c r="P308" s="2" t="n">
        <v>0</v>
      </c>
      <c r="Q308" s="2" t="n">
        <v>1</v>
      </c>
      <c r="R308" s="2" t="n">
        <v>1</v>
      </c>
      <c r="S308" s="2" t="n"/>
      <c r="T308" s="2">
        <f>IF(OR(S308="",R308=0),"",ROUND(S308*R308,2))</f>
        <v/>
      </c>
      <c r="U308" s="2" t="inlineStr"/>
    </row>
    <row r="309">
      <c r="A309" s="2" t="inlineStr">
        <is>
          <t>H</t>
        </is>
      </c>
      <c r="B309" s="2" t="inlineStr">
        <is>
          <t>CURTAIN WALLS</t>
        </is>
      </c>
      <c r="C309" s="2" t="inlineStr">
        <is>
          <t>N</t>
        </is>
      </c>
      <c r="D309" s="2" t="inlineStr">
        <is>
          <t>Ref. GL08, Side Hung Door Glass; overall size 850mm W x 2830mm H</t>
        </is>
      </c>
      <c r="E309" s="2" t="inlineStr">
        <is>
          <t>No</t>
        </is>
      </c>
      <c r="F309" s="2" t="n">
        <v>0</v>
      </c>
      <c r="G309" s="2" t="n">
        <v>2</v>
      </c>
      <c r="H309" s="2" t="n">
        <v>0</v>
      </c>
      <c r="I309" s="2" t="n">
        <v>2</v>
      </c>
      <c r="J309" s="2" t="n">
        <v>0</v>
      </c>
      <c r="K309" s="2" t="n">
        <v>2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6</v>
      </c>
      <c r="R309" s="2" t="n">
        <v>92</v>
      </c>
      <c r="S309" s="2" t="n"/>
      <c r="T309" s="2">
        <f>IF(OR(S309="",R309=0),"",ROUND(S309*R309,2))</f>
        <v/>
      </c>
      <c r="U309" s="2" t="inlineStr"/>
    </row>
    <row r="310">
      <c r="A310" s="2" t="inlineStr">
        <is>
          <t>H</t>
        </is>
      </c>
      <c r="B310" s="2" t="inlineStr">
        <is>
          <t>CURTAIN WALLS</t>
        </is>
      </c>
      <c r="C310" s="2" t="inlineStr">
        <is>
          <t>N</t>
        </is>
      </c>
      <c r="D310" s="2" t="inlineStr">
        <is>
          <t>Ref. GL06, overall size 600mm W x 2700mm H</t>
        </is>
      </c>
      <c r="E310" s="2" t="inlineStr">
        <is>
          <t>No</t>
        </is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1</v>
      </c>
      <c r="M310" s="2" t="n">
        <v>1</v>
      </c>
      <c r="N310" s="2" t="n">
        <v>0</v>
      </c>
      <c r="O310" s="2" t="n">
        <v>0</v>
      </c>
      <c r="P310" s="2" t="n">
        <v>0</v>
      </c>
      <c r="Q310" s="2" t="n">
        <v>2</v>
      </c>
      <c r="R310" s="2" t="n">
        <v>37</v>
      </c>
      <c r="S310" s="2" t="n"/>
      <c r="T310" s="2">
        <f>IF(OR(S310="",R310=0),"",ROUND(S310*R310,2))</f>
        <v/>
      </c>
      <c r="U310" s="2" t="inlineStr"/>
    </row>
    <row r="311">
      <c r="A311" s="2" t="inlineStr">
        <is>
          <t>H</t>
        </is>
      </c>
      <c r="B311" s="2" t="inlineStr">
        <is>
          <t>CURTAIN WALLS</t>
        </is>
      </c>
      <c r="C311" s="2" t="inlineStr">
        <is>
          <t>N</t>
        </is>
      </c>
      <c r="D311" s="2" t="inlineStr">
        <is>
          <t>Ref. GL-06, fixed and openable glass window, size 2300mm W x 3900mm H</t>
        </is>
      </c>
      <c r="E311" s="2" t="inlineStr">
        <is>
          <t>No</t>
        </is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1</v>
      </c>
      <c r="O311" s="2" t="n">
        <v>0</v>
      </c>
      <c r="P311" s="2" t="n">
        <v>0</v>
      </c>
      <c r="Q311" s="2" t="n">
        <v>1</v>
      </c>
      <c r="R311" s="2" t="n">
        <v>1</v>
      </c>
      <c r="S311" s="2" t="n"/>
      <c r="T311" s="2">
        <f>IF(OR(S311="",R311=0),"",ROUND(S311*R311,2))</f>
        <v/>
      </c>
      <c r="U311" s="2" t="inlineStr"/>
    </row>
    <row r="312">
      <c r="A312" s="2" t="inlineStr">
        <is>
          <t>H</t>
        </is>
      </c>
      <c r="B312" s="2" t="inlineStr">
        <is>
          <t>CURTAIN WALLS</t>
        </is>
      </c>
      <c r="C312" s="2" t="inlineStr">
        <is>
          <t>P</t>
        </is>
      </c>
      <c r="D312" s="2" t="inlineStr">
        <is>
          <t>Ref. GL08, Top Hung Window / Fixed Glass; overall size 1600mm W x 2780mm H</t>
        </is>
      </c>
      <c r="E312" s="2" t="inlineStr">
        <is>
          <t>No</t>
        </is>
      </c>
      <c r="F312" s="2" t="n">
        <v>2</v>
      </c>
      <c r="G312" s="2" t="n">
        <v>0</v>
      </c>
      <c r="H312" s="2" t="n">
        <v>2</v>
      </c>
      <c r="I312" s="2" t="n">
        <v>0</v>
      </c>
      <c r="J312" s="2" t="n">
        <v>2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6</v>
      </c>
      <c r="R312" s="2" t="n">
        <v>92</v>
      </c>
      <c r="S312" s="2" t="n"/>
      <c r="T312" s="2">
        <f>IF(OR(S312="",R312=0),"",ROUND(S312*R312,2))</f>
        <v/>
      </c>
      <c r="U312" s="2" t="inlineStr"/>
    </row>
    <row r="313">
      <c r="A313" s="2" t="inlineStr">
        <is>
          <t>H</t>
        </is>
      </c>
      <c r="B313" s="2" t="inlineStr">
        <is>
          <t>CURTAIN WALLS</t>
        </is>
      </c>
      <c r="C313" s="2" t="inlineStr">
        <is>
          <t>P</t>
        </is>
      </c>
      <c r="D313" s="2" t="inlineStr">
        <is>
          <t>Ref. GL06, overall size 600mm W x 2700mm H</t>
        </is>
      </c>
      <c r="E313" s="2" t="inlineStr">
        <is>
          <t>No</t>
        </is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1</v>
      </c>
      <c r="M313" s="2" t="n">
        <v>1</v>
      </c>
      <c r="N313" s="2" t="n">
        <v>0</v>
      </c>
      <c r="O313" s="2" t="n">
        <v>0</v>
      </c>
      <c r="P313" s="2" t="n">
        <v>0</v>
      </c>
      <c r="Q313" s="2" t="n">
        <v>2</v>
      </c>
      <c r="R313" s="2" t="n">
        <v>37</v>
      </c>
      <c r="S313" s="2" t="n"/>
      <c r="T313" s="2">
        <f>IF(OR(S313="",R313=0),"",ROUND(S313*R313,2))</f>
        <v/>
      </c>
      <c r="U313" s="2" t="inlineStr"/>
    </row>
    <row r="314">
      <c r="A314" s="2" t="inlineStr">
        <is>
          <t>H</t>
        </is>
      </c>
      <c r="B314" s="2" t="inlineStr">
        <is>
          <t>CURTAIN WALLS</t>
        </is>
      </c>
      <c r="C314" s="2" t="inlineStr">
        <is>
          <t>P</t>
        </is>
      </c>
      <c r="D314" s="2" t="inlineStr">
        <is>
          <t>Ref. GL-07, fixed and openable glass window, size 4750mm W x 3900mm H</t>
        </is>
      </c>
      <c r="E314" s="2" t="inlineStr">
        <is>
          <t>No</t>
        </is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1</v>
      </c>
      <c r="O314" s="2" t="n">
        <v>0</v>
      </c>
      <c r="P314" s="2" t="n">
        <v>0</v>
      </c>
      <c r="Q314" s="2" t="n">
        <v>1</v>
      </c>
      <c r="R314" s="2" t="n">
        <v>1</v>
      </c>
      <c r="S314" s="2" t="n"/>
      <c r="T314" s="2">
        <f>IF(OR(S314="",R314=0),"",ROUND(S314*R314,2))</f>
        <v/>
      </c>
      <c r="U314" s="2" t="inlineStr"/>
    </row>
    <row r="315">
      <c r="A315" s="2" t="inlineStr">
        <is>
          <t>H</t>
        </is>
      </c>
      <c r="B315" s="2" t="inlineStr">
        <is>
          <t>CURTAIN WALLS</t>
        </is>
      </c>
      <c r="C315" s="2" t="inlineStr">
        <is>
          <t>Q</t>
        </is>
      </c>
      <c r="D315" s="2" t="inlineStr">
        <is>
          <t>Ref. GL09, Slding Door / Fixed Glass; overall size 3000mm W x 2830mm H</t>
        </is>
      </c>
      <c r="E315" s="2" t="inlineStr">
        <is>
          <t>No</t>
        </is>
      </c>
      <c r="F315" s="2" t="n">
        <v>0</v>
      </c>
      <c r="G315" s="2" t="n">
        <v>2</v>
      </c>
      <c r="H315" s="2" t="n">
        <v>0</v>
      </c>
      <c r="I315" s="2" t="n">
        <v>2</v>
      </c>
      <c r="J315" s="2" t="n">
        <v>0</v>
      </c>
      <c r="K315" s="2" t="n">
        <v>2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6</v>
      </c>
      <c r="R315" s="2" t="n">
        <v>92</v>
      </c>
      <c r="S315" s="2" t="n"/>
      <c r="T315" s="2">
        <f>IF(OR(S315="",R315=0),"",ROUND(S315*R315,2))</f>
        <v/>
      </c>
      <c r="U315" s="2" t="inlineStr"/>
    </row>
    <row r="316">
      <c r="A316" s="2" t="inlineStr">
        <is>
          <t>H</t>
        </is>
      </c>
      <c r="B316" s="2" t="inlineStr">
        <is>
          <t>CURTAIN WALLS</t>
        </is>
      </c>
      <c r="C316" s="2" t="inlineStr">
        <is>
          <t>Q</t>
        </is>
      </c>
      <c r="D316" s="2" t="inlineStr">
        <is>
          <t>Ref. GL07, overall size 600mm W x 1480mm H</t>
        </is>
      </c>
      <c r="E316" s="2" t="inlineStr">
        <is>
          <t>No</t>
        </is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1</v>
      </c>
      <c r="M316" s="2" t="n">
        <v>1</v>
      </c>
      <c r="N316" s="2" t="n">
        <v>0</v>
      </c>
      <c r="O316" s="2" t="n">
        <v>0</v>
      </c>
      <c r="P316" s="2" t="n">
        <v>0</v>
      </c>
      <c r="Q316" s="2" t="n">
        <v>2</v>
      </c>
      <c r="R316" s="2" t="n">
        <v>37</v>
      </c>
      <c r="S316" s="2" t="n"/>
      <c r="T316" s="2">
        <f>IF(OR(S316="",R316=0),"",ROUND(S316*R316,2))</f>
        <v/>
      </c>
      <c r="U316" s="2" t="inlineStr"/>
    </row>
    <row r="317">
      <c r="A317" s="2" t="inlineStr">
        <is>
          <t>H</t>
        </is>
      </c>
      <c r="B317" s="2" t="inlineStr">
        <is>
          <t>CURTAIN WALLS</t>
        </is>
      </c>
      <c r="C317" s="2" t="inlineStr">
        <is>
          <t>Q</t>
        </is>
      </c>
      <c r="D317" s="2" t="inlineStr">
        <is>
          <t>Ref. GL-01, 600mm W x 2400mm H</t>
        </is>
      </c>
      <c r="E317" s="2" t="inlineStr">
        <is>
          <t>No</t>
        </is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1</v>
      </c>
      <c r="P317" s="2" t="n">
        <v>0</v>
      </c>
      <c r="Q317" s="2" t="n">
        <v>1</v>
      </c>
      <c r="R317" s="2" t="n">
        <v>1</v>
      </c>
      <c r="S317" s="2" t="n"/>
      <c r="T317" s="2">
        <f>IF(OR(S317="",R317=0),"",ROUND(S317*R317,2))</f>
        <v/>
      </c>
      <c r="U317" s="2" t="inlineStr"/>
    </row>
    <row r="318">
      <c r="A318" s="2" t="inlineStr">
        <is>
          <t>H</t>
        </is>
      </c>
      <c r="B318" s="2" t="inlineStr">
        <is>
          <t>CURTAIN WALLS</t>
        </is>
      </c>
      <c r="C318" s="2" t="inlineStr">
        <is>
          <t>R</t>
        </is>
      </c>
      <c r="D318" s="2" t="inlineStr">
        <is>
          <t>Ref. GL09, Top Hung Window / Fixed Glass; overall size 475mm W x 2780mm H</t>
        </is>
      </c>
      <c r="E318" s="2" t="inlineStr">
        <is>
          <t>No</t>
        </is>
      </c>
      <c r="F318" s="2" t="n">
        <v>4</v>
      </c>
      <c r="G318" s="2" t="n">
        <v>0</v>
      </c>
      <c r="H318" s="2" t="n">
        <v>4</v>
      </c>
      <c r="I318" s="2" t="n">
        <v>0</v>
      </c>
      <c r="J318" s="2" t="n">
        <v>4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12</v>
      </c>
      <c r="R318" s="2" t="n">
        <v>184</v>
      </c>
      <c r="S318" s="2" t="n"/>
      <c r="T318" s="2">
        <f>IF(OR(S318="",R318=0),"",ROUND(S318*R318,2))</f>
        <v/>
      </c>
      <c r="U318" s="2" t="inlineStr"/>
    </row>
    <row r="319">
      <c r="A319" s="2" t="inlineStr">
        <is>
          <t>H</t>
        </is>
      </c>
      <c r="B319" s="2" t="inlineStr">
        <is>
          <t>CURTAIN WALLS</t>
        </is>
      </c>
      <c r="C319" s="2" t="inlineStr">
        <is>
          <t>R</t>
        </is>
      </c>
      <c r="D319" s="2" t="inlineStr">
        <is>
          <t>Ref. GL08, overall size 1200mm W x 2980mm H</t>
        </is>
      </c>
      <c r="E319" s="2" t="inlineStr">
        <is>
          <t>No</t>
        </is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1</v>
      </c>
      <c r="M319" s="2" t="n">
        <v>1</v>
      </c>
      <c r="N319" s="2" t="n">
        <v>0</v>
      </c>
      <c r="O319" s="2" t="n">
        <v>0</v>
      </c>
      <c r="P319" s="2" t="n">
        <v>0</v>
      </c>
      <c r="Q319" s="2" t="n">
        <v>2</v>
      </c>
      <c r="R319" s="2" t="n">
        <v>37</v>
      </c>
      <c r="S319" s="2" t="n"/>
      <c r="T319" s="2">
        <f>IF(OR(S319="",R319=0),"",ROUND(S319*R319,2))</f>
        <v/>
      </c>
      <c r="U319" s="2" t="inlineStr"/>
    </row>
    <row r="320">
      <c r="A320" s="2" t="inlineStr">
        <is>
          <t>H</t>
        </is>
      </c>
      <c r="B320" s="2" t="inlineStr">
        <is>
          <t>CURTAIN WALLS</t>
        </is>
      </c>
      <c r="C320" s="2" t="inlineStr">
        <is>
          <t>R</t>
        </is>
      </c>
      <c r="D320" s="2" t="inlineStr">
        <is>
          <t>Ref. GL-01, Aluminum door, 1075mm W x 3300mm H</t>
        </is>
      </c>
      <c r="E320" s="2" t="inlineStr">
        <is>
          <t>No</t>
        </is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1</v>
      </c>
      <c r="P320" s="2" t="n">
        <v>0</v>
      </c>
      <c r="Q320" s="2" t="n">
        <v>1</v>
      </c>
      <c r="R320" s="2" t="n">
        <v>1</v>
      </c>
      <c r="S320" s="2" t="n"/>
      <c r="T320" s="2">
        <f>IF(OR(S320="",R320=0),"",ROUND(S320*R320,2))</f>
        <v/>
      </c>
      <c r="U320" s="2" t="inlineStr"/>
    </row>
    <row r="321">
      <c r="A321" s="2" t="inlineStr">
        <is>
          <t>H</t>
        </is>
      </c>
      <c r="B321" s="2" t="inlineStr">
        <is>
          <t>CURTAIN WALLS</t>
        </is>
      </c>
      <c r="C321" s="2" t="inlineStr">
        <is>
          <t>S</t>
        </is>
      </c>
      <c r="D321" s="2" t="inlineStr">
        <is>
          <t>Ref. GL10, Fixed Glass; overall size 660mm W x 2780mm H</t>
        </is>
      </c>
      <c r="E321" s="2" t="inlineStr">
        <is>
          <t>No</t>
        </is>
      </c>
      <c r="F321" s="2" t="n">
        <v>0</v>
      </c>
      <c r="G321" s="2" t="n">
        <v>2</v>
      </c>
      <c r="H321" s="2" t="n">
        <v>0</v>
      </c>
      <c r="I321" s="2" t="n">
        <v>4</v>
      </c>
      <c r="J321" s="2" t="n">
        <v>0</v>
      </c>
      <c r="K321" s="2" t="n">
        <v>6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12</v>
      </c>
      <c r="R321" s="2" t="n">
        <v>166</v>
      </c>
      <c r="S321" s="2" t="n"/>
      <c r="T321" s="2">
        <f>IF(OR(S321="",R321=0),"",ROUND(S321*R321,2))</f>
        <v/>
      </c>
      <c r="U321" s="2" t="inlineStr"/>
    </row>
    <row r="322">
      <c r="A322" s="2" t="inlineStr">
        <is>
          <t>H</t>
        </is>
      </c>
      <c r="B322" s="2" t="inlineStr">
        <is>
          <t>CURTAIN WALLS</t>
        </is>
      </c>
      <c r="C322" s="2" t="inlineStr">
        <is>
          <t>S</t>
        </is>
      </c>
      <c r="D322" s="2" t="inlineStr">
        <is>
          <t>Ref. GL09, overall size 3350mm W x 3015mm H</t>
        </is>
      </c>
      <c r="E322" s="2" t="inlineStr">
        <is>
          <t>No</t>
        </is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1</v>
      </c>
      <c r="M322" s="2" t="n">
        <v>1</v>
      </c>
      <c r="N322" s="2" t="n">
        <v>0</v>
      </c>
      <c r="O322" s="2" t="n">
        <v>0</v>
      </c>
      <c r="P322" s="2" t="n">
        <v>0</v>
      </c>
      <c r="Q322" s="2" t="n">
        <v>2</v>
      </c>
      <c r="R322" s="2" t="n">
        <v>37</v>
      </c>
      <c r="S322" s="2" t="n"/>
      <c r="T322" s="2">
        <f>IF(OR(S322="",R322=0),"",ROUND(S322*R322,2))</f>
        <v/>
      </c>
      <c r="U322" s="2" t="inlineStr"/>
    </row>
    <row r="323">
      <c r="A323" s="2" t="inlineStr">
        <is>
          <t>H</t>
        </is>
      </c>
      <c r="B323" s="2" t="inlineStr">
        <is>
          <t>CURTAIN WALLS</t>
        </is>
      </c>
      <c r="C323" s="2" t="inlineStr">
        <is>
          <t>S</t>
        </is>
      </c>
      <c r="D323" s="2" t="inlineStr">
        <is>
          <t>Ref. GL-02, 2190mm W x 2400mm H</t>
        </is>
      </c>
      <c r="E323" s="2" t="inlineStr">
        <is>
          <t>No</t>
        </is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1</v>
      </c>
      <c r="P323" s="2" t="n">
        <v>0</v>
      </c>
      <c r="Q323" s="2" t="n">
        <v>1</v>
      </c>
      <c r="R323" s="2" t="n">
        <v>1</v>
      </c>
      <c r="S323" s="2" t="n"/>
      <c r="T323" s="2">
        <f>IF(OR(S323="",R323=0),"",ROUND(S323*R323,2))</f>
        <v/>
      </c>
      <c r="U323" s="2" t="inlineStr"/>
    </row>
    <row r="324">
      <c r="A324" s="2" t="inlineStr">
        <is>
          <t>H</t>
        </is>
      </c>
      <c r="B324" s="2" t="inlineStr">
        <is>
          <t>CURTAIN WALLS</t>
        </is>
      </c>
      <c r="C324" s="2" t="inlineStr">
        <is>
          <t>T</t>
        </is>
      </c>
      <c r="D324" s="2" t="inlineStr">
        <is>
          <t>Ref. GL10, overall size 950mm W x 1480mm H</t>
        </is>
      </c>
      <c r="E324" s="2" t="inlineStr">
        <is>
          <t>No</t>
        </is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1</v>
      </c>
      <c r="M324" s="2" t="n">
        <v>1</v>
      </c>
      <c r="N324" s="2" t="n">
        <v>0</v>
      </c>
      <c r="O324" s="2" t="n">
        <v>0</v>
      </c>
      <c r="P324" s="2" t="n">
        <v>0</v>
      </c>
      <c r="Q324" s="2" t="n">
        <v>2</v>
      </c>
      <c r="R324" s="2" t="n">
        <v>37</v>
      </c>
      <c r="S324" s="2" t="n"/>
      <c r="T324" s="2">
        <f>IF(OR(S324="",R324=0),"",ROUND(S324*R324,2))</f>
        <v/>
      </c>
      <c r="U324" s="2" t="inlineStr"/>
    </row>
    <row r="325">
      <c r="A325" s="2" t="inlineStr">
        <is>
          <t>H</t>
        </is>
      </c>
      <c r="B325" s="2" t="inlineStr">
        <is>
          <t>CURTAIN WALLS</t>
        </is>
      </c>
      <c r="C325" s="2" t="inlineStr">
        <is>
          <t>U</t>
        </is>
      </c>
      <c r="D325" s="2" t="inlineStr">
        <is>
          <t>Ref. GL-03, 1772mm W x 2400mm H</t>
        </is>
      </c>
      <c r="E325" s="2" t="inlineStr">
        <is>
          <t>No</t>
        </is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1</v>
      </c>
      <c r="P325" s="2" t="n">
        <v>0</v>
      </c>
      <c r="Q325" s="2" t="n">
        <v>1</v>
      </c>
      <c r="R325" s="2" t="n">
        <v>1</v>
      </c>
      <c r="S325" s="2" t="n"/>
      <c r="T325" s="2">
        <f>IF(OR(S325="",R325=0),"",ROUND(S325*R325,2))</f>
        <v/>
      </c>
      <c r="U325" s="2" t="inlineStr"/>
    </row>
    <row r="326">
      <c r="A326" s="2" t="inlineStr">
        <is>
          <t>H</t>
        </is>
      </c>
      <c r="B326" s="2" t="inlineStr">
        <is>
          <t>DOORS - EXTERNAL</t>
        </is>
      </c>
      <c r="C326" s="2" t="inlineStr">
        <is>
          <t>A</t>
        </is>
      </c>
      <c r="D326" s="2" t="inlineStr">
        <is>
          <t>Ref. D01, Single leaf wooden door, size 1400mm W x 2650mm H -  Main Entrance</t>
        </is>
      </c>
      <c r="E326" s="2" t="inlineStr">
        <is>
          <t>No</t>
        </is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1</v>
      </c>
      <c r="M326" s="2" t="n">
        <v>1</v>
      </c>
      <c r="N326" s="2" t="n">
        <v>0</v>
      </c>
      <c r="O326" s="2" t="n">
        <v>0</v>
      </c>
      <c r="P326" s="2" t="n">
        <v>0</v>
      </c>
      <c r="Q326" s="2" t="n">
        <v>2</v>
      </c>
      <c r="R326" s="2" t="n">
        <v>37</v>
      </c>
      <c r="S326" s="2" t="n"/>
      <c r="T326" s="2">
        <f>IF(OR(S326="",R326=0),"",ROUND(S326*R326,2))</f>
        <v/>
      </c>
      <c r="U326" s="2" t="inlineStr"/>
    </row>
    <row r="327">
      <c r="A327" s="2" t="inlineStr">
        <is>
          <t>H</t>
        </is>
      </c>
      <c r="B327" s="2" t="inlineStr">
        <is>
          <t>DOORS - EXTERNAL</t>
        </is>
      </c>
      <c r="C327" s="2" t="inlineStr">
        <is>
          <t>A</t>
        </is>
      </c>
      <c r="D327" s="2" t="inlineStr">
        <is>
          <t>LPG perforated sheet, overall size  200mm W x 200mm L x 500mm H (to Gas pipe outdoor louver)</t>
        </is>
      </c>
      <c r="E327" s="2" t="inlineStr">
        <is>
          <t>No</t>
        </is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1</v>
      </c>
      <c r="M327" s="2" t="n">
        <v>1</v>
      </c>
      <c r="N327" s="2" t="n">
        <v>0</v>
      </c>
      <c r="O327" s="2" t="n">
        <v>0</v>
      </c>
      <c r="P327" s="2" t="n">
        <v>0</v>
      </c>
      <c r="Q327" s="2" t="n">
        <v>2</v>
      </c>
      <c r="R327" s="2" t="n">
        <v>37</v>
      </c>
      <c r="S327" s="2" t="n"/>
      <c r="T327" s="2">
        <f>IF(OR(S327="",R327=0),"",ROUND(S327*R327,2))</f>
        <v/>
      </c>
      <c r="U327" s="2" t="inlineStr"/>
    </row>
    <row r="328">
      <c r="A328" s="2" t="inlineStr">
        <is>
          <t>H</t>
        </is>
      </c>
      <c r="B328" s="2" t="inlineStr">
        <is>
          <t>DOORS - EXTERNAL</t>
        </is>
      </c>
      <c r="C328" s="2" t="inlineStr">
        <is>
          <t>B</t>
        </is>
      </c>
      <c r="D328" s="2" t="inlineStr">
        <is>
          <t>Ref. D01, Single leaf wooden door, size 1200mm W x 2400mm H - Main Entrance</t>
        </is>
      </c>
      <c r="E328" s="2" t="inlineStr">
        <is>
          <t>No</t>
        </is>
      </c>
      <c r="F328" s="2" t="n">
        <v>4</v>
      </c>
      <c r="G328" s="2" t="n">
        <v>4</v>
      </c>
      <c r="H328" s="2" t="n">
        <v>6</v>
      </c>
      <c r="I328" s="2" t="n">
        <v>6</v>
      </c>
      <c r="J328" s="2" t="n">
        <v>8</v>
      </c>
      <c r="K328" s="2" t="n">
        <v>8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36</v>
      </c>
      <c r="R328" s="2" t="n">
        <v>510</v>
      </c>
      <c r="S328" s="2" t="n"/>
      <c r="T328" s="2">
        <f>IF(OR(S328="",R328=0),"",ROUND(S328*R328,2))</f>
        <v/>
      </c>
      <c r="U328" s="2" t="inlineStr"/>
    </row>
    <row r="329">
      <c r="A329" s="2" t="inlineStr">
        <is>
          <t>H</t>
        </is>
      </c>
      <c r="B329" s="2" t="inlineStr">
        <is>
          <t>DOORS - EXTERNAL</t>
        </is>
      </c>
      <c r="C329" s="2" t="inlineStr">
        <is>
          <t>B</t>
        </is>
      </c>
      <c r="D329" s="2" t="inlineStr">
        <is>
          <t>Ref. HM01, Single leaf hollow metal door, size 1100mm W x 2400mm H -  Garage</t>
        </is>
      </c>
      <c r="E329" s="2" t="inlineStr">
        <is>
          <t>No</t>
        </is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1</v>
      </c>
      <c r="M329" s="2" t="n">
        <v>1</v>
      </c>
      <c r="N329" s="2" t="n">
        <v>0</v>
      </c>
      <c r="O329" s="2" t="n">
        <v>0</v>
      </c>
      <c r="P329" s="2" t="n">
        <v>0</v>
      </c>
      <c r="Q329" s="2" t="n">
        <v>2</v>
      </c>
      <c r="R329" s="2" t="n">
        <v>37</v>
      </c>
      <c r="S329" s="2" t="n"/>
      <c r="T329" s="2">
        <f>IF(OR(S329="",R329=0),"",ROUND(S329*R329,2))</f>
        <v/>
      </c>
      <c r="U329" s="2" t="inlineStr"/>
    </row>
    <row r="330">
      <c r="A330" s="2" t="inlineStr">
        <is>
          <t>H</t>
        </is>
      </c>
      <c r="B330" s="2" t="inlineStr">
        <is>
          <t>DOORS - EXTERNAL</t>
        </is>
      </c>
      <c r="C330" s="2" t="inlineStr">
        <is>
          <t>C</t>
        </is>
      </c>
      <c r="D330" s="2" t="inlineStr">
        <is>
          <t>Ref. SV-001, Hardware set to door D01- Main Entrance</t>
        </is>
      </c>
      <c r="E330" s="2" t="inlineStr">
        <is>
          <t>No</t>
        </is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1</v>
      </c>
      <c r="M330" s="2" t="n">
        <v>1</v>
      </c>
      <c r="N330" s="2" t="n">
        <v>0</v>
      </c>
      <c r="O330" s="2" t="n">
        <v>0</v>
      </c>
      <c r="P330" s="2" t="n">
        <v>0</v>
      </c>
      <c r="Q330" s="2" t="n">
        <v>2</v>
      </c>
      <c r="R330" s="2" t="n">
        <v>37</v>
      </c>
      <c r="S330" s="2" t="n"/>
      <c r="T330" s="2">
        <f>IF(OR(S330="",R330=0),"",ROUND(S330*R330,2))</f>
        <v/>
      </c>
      <c r="U330" s="2" t="inlineStr"/>
    </row>
    <row r="331">
      <c r="A331" s="2" t="inlineStr">
        <is>
          <t>H</t>
        </is>
      </c>
      <c r="B331" s="2" t="inlineStr">
        <is>
          <t>DOORS - EXTERNAL</t>
        </is>
      </c>
      <c r="C331" s="2" t="inlineStr">
        <is>
          <t>C</t>
        </is>
      </c>
      <c r="D331" s="2" t="inlineStr">
        <is>
          <t>Ref. HM02, Single leaf hollow metal door, size 1100mm W x 2200mm H -  Accessible MEP Area</t>
        </is>
      </c>
      <c r="E331" s="2" t="inlineStr">
        <is>
          <t>No</t>
        </is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1</v>
      </c>
      <c r="M331" s="2" t="n">
        <v>1</v>
      </c>
      <c r="N331" s="2" t="n">
        <v>0</v>
      </c>
      <c r="O331" s="2" t="n">
        <v>0</v>
      </c>
      <c r="P331" s="2" t="n">
        <v>0</v>
      </c>
      <c r="Q331" s="2" t="n">
        <v>2</v>
      </c>
      <c r="R331" s="2" t="n">
        <v>37</v>
      </c>
      <c r="S331" s="2" t="n"/>
      <c r="T331" s="2">
        <f>IF(OR(S331="",R331=0),"",ROUND(S331*R331,2))</f>
        <v/>
      </c>
      <c r="U331" s="2" t="inlineStr"/>
    </row>
    <row r="332">
      <c r="A332" s="2" t="inlineStr">
        <is>
          <t>H</t>
        </is>
      </c>
      <c r="B332" s="2" t="inlineStr">
        <is>
          <t>DOORS - EXTERNAL</t>
        </is>
      </c>
      <c r="C332" s="2" t="inlineStr">
        <is>
          <t>D</t>
        </is>
      </c>
      <c r="D332" s="2" t="inlineStr">
        <is>
          <t>Ref. Set-01, Hardware set to door D01- Main Entrance</t>
        </is>
      </c>
      <c r="E332" s="2" t="inlineStr">
        <is>
          <t>No</t>
        </is>
      </c>
      <c r="F332" s="2" t="n">
        <v>4</v>
      </c>
      <c r="G332" s="2" t="n">
        <v>4</v>
      </c>
      <c r="H332" s="2" t="n">
        <v>6</v>
      </c>
      <c r="I332" s="2" t="n">
        <v>6</v>
      </c>
      <c r="J332" s="2" t="n">
        <v>8</v>
      </c>
      <c r="K332" s="2" t="n">
        <v>8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  <c r="Q332" s="2" t="n">
        <v>36</v>
      </c>
      <c r="R332" s="2" t="n">
        <v>510</v>
      </c>
      <c r="S332" s="2" t="n"/>
      <c r="T332" s="2">
        <f>IF(OR(S332="",R332=0),"",ROUND(S332*R332,2))</f>
        <v/>
      </c>
      <c r="U332" s="2" t="inlineStr"/>
    </row>
    <row r="333">
      <c r="A333" s="2" t="inlineStr">
        <is>
          <t>H</t>
        </is>
      </c>
      <c r="B333" s="2" t="inlineStr">
        <is>
          <t>DOORS - EXTERNAL</t>
        </is>
      </c>
      <c r="C333" s="2" t="inlineStr">
        <is>
          <t>D</t>
        </is>
      </c>
      <c r="D333" s="2" t="inlineStr">
        <is>
          <t>Ref. HM01, single shutter swing door, size 1100mm W x 2700mm H</t>
        </is>
      </c>
      <c r="E333" s="2" t="inlineStr">
        <is>
          <t>No</t>
        </is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3</v>
      </c>
      <c r="O333" s="2" t="n">
        <v>0</v>
      </c>
      <c r="P333" s="2" t="n">
        <v>0</v>
      </c>
      <c r="Q333" s="2" t="n">
        <v>3</v>
      </c>
      <c r="R333" s="2" t="n">
        <v>3</v>
      </c>
      <c r="S333" s="2" t="n"/>
      <c r="T333" s="2">
        <f>IF(OR(S333="",R333=0),"",ROUND(S333*R333,2))</f>
        <v/>
      </c>
      <c r="U333" s="2" t="inlineStr"/>
    </row>
    <row r="334">
      <c r="A334" s="2" t="inlineStr">
        <is>
          <t>H</t>
        </is>
      </c>
      <c r="B334" s="2" t="inlineStr">
        <is>
          <t>DOORS - EXTERNAL</t>
        </is>
      </c>
      <c r="C334" s="2" t="inlineStr">
        <is>
          <t>E</t>
        </is>
      </c>
      <c r="D334" s="2" t="inlineStr">
        <is>
          <t>Ref. AL01, Single leaf powdered coated aluminum louvered door, size 790mm W x 1800mm H - Pump Room</t>
        </is>
      </c>
      <c r="E334" s="2" t="inlineStr">
        <is>
          <t>No</t>
        </is>
      </c>
      <c r="F334" s="2" t="n">
        <v>2</v>
      </c>
      <c r="G334" s="2" t="n">
        <v>2</v>
      </c>
      <c r="H334" s="2" t="n">
        <v>2</v>
      </c>
      <c r="I334" s="2" t="n">
        <v>2</v>
      </c>
      <c r="J334" s="2" t="n">
        <v>2</v>
      </c>
      <c r="K334" s="2" t="n">
        <v>2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12</v>
      </c>
      <c r="R334" s="2" t="n">
        <v>184</v>
      </c>
      <c r="S334" s="2" t="n"/>
      <c r="T334" s="2">
        <f>IF(OR(S334="",R334=0),"",ROUND(S334*R334,2))</f>
        <v/>
      </c>
      <c r="U334" s="2" t="inlineStr"/>
    </row>
    <row r="335">
      <c r="A335" s="2" t="inlineStr">
        <is>
          <t>H</t>
        </is>
      </c>
      <c r="B335" s="2" t="inlineStr">
        <is>
          <t>DOORS - EXTERNAL</t>
        </is>
      </c>
      <c r="C335" s="2" t="inlineStr">
        <is>
          <t>E</t>
        </is>
      </c>
      <c r="D335" s="2" t="inlineStr">
        <is>
          <t>Ref. HM02, single shutter swing door, size 900mm W x 2700mm H</t>
        </is>
      </c>
      <c r="E335" s="2" t="inlineStr">
        <is>
          <t>No</t>
        </is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1</v>
      </c>
      <c r="O335" s="2" t="n">
        <v>0</v>
      </c>
      <c r="P335" s="2" t="n">
        <v>0</v>
      </c>
      <c r="Q335" s="2" t="n">
        <v>1</v>
      </c>
      <c r="R335" s="2" t="n">
        <v>1</v>
      </c>
      <c r="S335" s="2" t="n"/>
      <c r="T335" s="2">
        <f>IF(OR(S335="",R335=0),"",ROUND(S335*R335,2))</f>
        <v/>
      </c>
      <c r="U335" s="2" t="inlineStr"/>
    </row>
    <row r="336">
      <c r="A336" s="2" t="inlineStr">
        <is>
          <t>H</t>
        </is>
      </c>
      <c r="B336" s="2" t="inlineStr">
        <is>
          <t>DOORS - EXTERNAL</t>
        </is>
      </c>
      <c r="C336" s="2" t="inlineStr">
        <is>
          <t>F</t>
        </is>
      </c>
      <c r="D336" s="2" t="inlineStr">
        <is>
          <t>Ref. AL02, Single leaf powdered coated fence door, size 1000mm W x 1950mm H - Garage Area</t>
        </is>
      </c>
      <c r="E336" s="2" t="inlineStr">
        <is>
          <t>No</t>
        </is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1</v>
      </c>
      <c r="M336" s="2" t="n">
        <v>1</v>
      </c>
      <c r="N336" s="2" t="n">
        <v>0</v>
      </c>
      <c r="O336" s="2" t="n">
        <v>0</v>
      </c>
      <c r="P336" s="2" t="n">
        <v>0</v>
      </c>
      <c r="Q336" s="2" t="n">
        <v>2</v>
      </c>
      <c r="R336" s="2" t="n">
        <v>37</v>
      </c>
      <c r="S336" s="2" t="n"/>
      <c r="T336" s="2">
        <f>IF(OR(S336="",R336=0),"",ROUND(S336*R336,2))</f>
        <v/>
      </c>
      <c r="U336" s="2" t="inlineStr"/>
    </row>
    <row r="337">
      <c r="A337" s="2" t="inlineStr">
        <is>
          <t>H</t>
        </is>
      </c>
      <c r="B337" s="2" t="inlineStr">
        <is>
          <t>DOORS - EXTERNAL</t>
        </is>
      </c>
      <c r="C337" s="2" t="inlineStr">
        <is>
          <t>F</t>
        </is>
      </c>
      <c r="D337" s="2" t="inlineStr">
        <is>
          <t>Ref. HM03, single shutter swing hollow metal door, size 900mm W x 2200mm H</t>
        </is>
      </c>
      <c r="E337" s="2" t="inlineStr">
        <is>
          <t>No</t>
        </is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2</v>
      </c>
      <c r="O337" s="2" t="n">
        <v>0</v>
      </c>
      <c r="P337" s="2" t="n">
        <v>0</v>
      </c>
      <c r="Q337" s="2" t="n">
        <v>2</v>
      </c>
      <c r="R337" s="2" t="n">
        <v>2</v>
      </c>
      <c r="S337" s="2" t="n"/>
      <c r="T337" s="2">
        <f>IF(OR(S337="",R337=0),"",ROUND(S337*R337,2))</f>
        <v/>
      </c>
      <c r="U337" s="2" t="inlineStr"/>
    </row>
    <row r="338">
      <c r="A338" s="2" t="inlineStr">
        <is>
          <t>H</t>
        </is>
      </c>
      <c r="B338" s="2" t="inlineStr">
        <is>
          <t>DOORS - EXTERNAL</t>
        </is>
      </c>
      <c r="C338" s="2" t="inlineStr">
        <is>
          <t>G</t>
        </is>
      </c>
      <c r="D338" s="2" t="inlineStr">
        <is>
          <t>Ref. AL02, Double leaf powdered coated aluminum louvered door, size 1300mm W x 2250mm H - Garbage Room</t>
        </is>
      </c>
      <c r="E338" s="2" t="inlineStr">
        <is>
          <t>No</t>
        </is>
      </c>
      <c r="F338" s="2" t="n">
        <v>2</v>
      </c>
      <c r="G338" s="2" t="n">
        <v>2</v>
      </c>
      <c r="H338" s="2" t="n">
        <v>4</v>
      </c>
      <c r="I338" s="2" t="n">
        <v>4</v>
      </c>
      <c r="J338" s="2" t="n">
        <v>6</v>
      </c>
      <c r="K338" s="2" t="n">
        <v>6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24</v>
      </c>
      <c r="R338" s="2" t="n">
        <v>326</v>
      </c>
      <c r="S338" s="2" t="n"/>
      <c r="T338" s="2">
        <f>IF(OR(S338="",R338=0),"",ROUND(S338*R338,2))</f>
        <v/>
      </c>
      <c r="U338" s="2" t="inlineStr"/>
    </row>
    <row r="339">
      <c r="A339" s="2" t="inlineStr">
        <is>
          <t>H</t>
        </is>
      </c>
      <c r="B339" s="2" t="inlineStr">
        <is>
          <t>DOORS - EXTERNAL</t>
        </is>
      </c>
      <c r="C339" s="2" t="inlineStr">
        <is>
          <t>H</t>
        </is>
      </c>
      <c r="D339" s="2" t="inlineStr">
        <is>
          <t>Ref. AL03, Double leaf powdered coated louver door, size 1550mm W x 3000mm H -  Garbage</t>
        </is>
      </c>
      <c r="E339" s="2" t="inlineStr">
        <is>
          <t>No</t>
        </is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1</v>
      </c>
      <c r="M339" s="2" t="n">
        <v>1</v>
      </c>
      <c r="N339" s="2" t="n">
        <v>0</v>
      </c>
      <c r="O339" s="2" t="n">
        <v>0</v>
      </c>
      <c r="P339" s="2" t="n">
        <v>0</v>
      </c>
      <c r="Q339" s="2" t="n">
        <v>2</v>
      </c>
      <c r="R339" s="2" t="n">
        <v>37</v>
      </c>
      <c r="S339" s="2" t="n"/>
      <c r="T339" s="2">
        <f>IF(OR(S339="",R339=0),"",ROUND(S339*R339,2))</f>
        <v/>
      </c>
      <c r="U339" s="2" t="inlineStr"/>
    </row>
    <row r="340">
      <c r="A340" s="2" t="inlineStr">
        <is>
          <t>H</t>
        </is>
      </c>
      <c r="B340" s="2" t="inlineStr">
        <is>
          <t>DOORS - EXTERNAL</t>
        </is>
      </c>
      <c r="C340" s="2" t="inlineStr">
        <is>
          <t>J</t>
        </is>
      </c>
      <c r="D340" s="2" t="inlineStr">
        <is>
          <t>Ref. AL03, Double leaf powdered coated aluminum louvered door, size 650mm W x 2100mm H - Pump Room</t>
        </is>
      </c>
      <c r="E340" s="2" t="inlineStr">
        <is>
          <t>No</t>
        </is>
      </c>
      <c r="F340" s="2" t="n">
        <v>2</v>
      </c>
      <c r="G340" s="2" t="n">
        <v>2</v>
      </c>
      <c r="H340" s="2" t="n">
        <v>4</v>
      </c>
      <c r="I340" s="2" t="n">
        <v>4</v>
      </c>
      <c r="J340" s="2" t="n">
        <v>6</v>
      </c>
      <c r="K340" s="2" t="n">
        <v>6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24</v>
      </c>
      <c r="R340" s="2" t="n">
        <v>326</v>
      </c>
      <c r="S340" s="2" t="n"/>
      <c r="T340" s="2">
        <f>IF(OR(S340="",R340=0),"",ROUND(S340*R340,2))</f>
        <v/>
      </c>
      <c r="U340" s="2" t="inlineStr"/>
    </row>
    <row r="341">
      <c r="A341" s="2" t="inlineStr">
        <is>
          <t>H</t>
        </is>
      </c>
      <c r="B341" s="2" t="inlineStr">
        <is>
          <t>DOORS - EXTERNAL</t>
        </is>
      </c>
      <c r="C341" s="2" t="inlineStr">
        <is>
          <t>K</t>
        </is>
      </c>
      <c r="D341" s="2" t="inlineStr">
        <is>
          <t>Ref. AL05, Aluminum sectional door, size 4900mm W x 2900mm H -  Garage</t>
        </is>
      </c>
      <c r="E341" s="2" t="inlineStr">
        <is>
          <t>No</t>
        </is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1</v>
      </c>
      <c r="M341" s="2" t="n">
        <v>1</v>
      </c>
      <c r="N341" s="2" t="n">
        <v>0</v>
      </c>
      <c r="O341" s="2" t="n">
        <v>0</v>
      </c>
      <c r="P341" s="2" t="n">
        <v>0</v>
      </c>
      <c r="Q341" s="2" t="n">
        <v>2</v>
      </c>
      <c r="R341" s="2" t="n">
        <v>37</v>
      </c>
      <c r="S341" s="2" t="n"/>
      <c r="T341" s="2">
        <f>IF(OR(S341="",R341=0),"",ROUND(S341*R341,2))</f>
        <v/>
      </c>
      <c r="U341" s="2" t="inlineStr"/>
    </row>
    <row r="342">
      <c r="A342" s="2" t="inlineStr">
        <is>
          <t>H</t>
        </is>
      </c>
      <c r="B342" s="2" t="inlineStr">
        <is>
          <t>DOORS - EXTERNAL</t>
        </is>
      </c>
      <c r="C342" s="2" t="inlineStr">
        <is>
          <t>L</t>
        </is>
      </c>
      <c r="D342" s="2" t="inlineStr">
        <is>
          <t>Ref. AL05, Double leaf powdered coated aluminum louvered door, size 1250mm W x 1870mm H - Waste Bin Closure</t>
        </is>
      </c>
      <c r="E342" s="2" t="inlineStr">
        <is>
          <t>No</t>
        </is>
      </c>
      <c r="F342" s="2" t="n">
        <v>2</v>
      </c>
      <c r="G342" s="2" t="n">
        <v>2</v>
      </c>
      <c r="H342" s="2" t="n">
        <v>2</v>
      </c>
      <c r="I342" s="2" t="n">
        <v>2</v>
      </c>
      <c r="J342" s="2" t="n">
        <v>2</v>
      </c>
      <c r="K342" s="2" t="n">
        <v>2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12</v>
      </c>
      <c r="R342" s="2" t="n">
        <v>184</v>
      </c>
      <c r="S342" s="2" t="n"/>
      <c r="T342" s="2">
        <f>IF(OR(S342="",R342=0),"",ROUND(S342*R342,2))</f>
        <v/>
      </c>
      <c r="U342" s="2" t="inlineStr"/>
    </row>
    <row r="343">
      <c r="A343" s="2" t="inlineStr">
        <is>
          <t>H</t>
        </is>
      </c>
      <c r="B343" s="2" t="inlineStr">
        <is>
          <t>DOORS - EXTERNAL</t>
        </is>
      </c>
      <c r="C343" s="2" t="inlineStr">
        <is>
          <t>M</t>
        </is>
      </c>
      <c r="D343" s="2" t="inlineStr">
        <is>
          <t>Ref. 04, Powder Coated Aluminum Fence Door, 2040mm W x 3300mm H</t>
        </is>
      </c>
      <c r="E343" s="2" t="inlineStr">
        <is>
          <t>No</t>
        </is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1</v>
      </c>
      <c r="P343" s="2" t="n">
        <v>0</v>
      </c>
      <c r="Q343" s="2" t="n">
        <v>1</v>
      </c>
      <c r="R343" s="2" t="n">
        <v>1</v>
      </c>
      <c r="S343" s="2" t="n"/>
      <c r="T343" s="2">
        <f>IF(OR(S343="",R343=0),"",ROUND(S343*R343,2))</f>
        <v/>
      </c>
      <c r="U343" s="2" t="inlineStr"/>
    </row>
    <row r="344">
      <c r="A344" s="2" t="inlineStr">
        <is>
          <t>H</t>
        </is>
      </c>
      <c r="B344" s="2" t="inlineStr">
        <is>
          <t>DOORS - EXTERNAL</t>
        </is>
      </c>
      <c r="C344" s="2" t="inlineStr">
        <is>
          <t>N</t>
        </is>
      </c>
      <c r="D344" s="2" t="inlineStr">
        <is>
          <t>Ref. AL01, double louvers swing door, size 2000mm W x 2700mm H</t>
        </is>
      </c>
      <c r="E344" s="2" t="inlineStr">
        <is>
          <t>No</t>
        </is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1</v>
      </c>
      <c r="O344" s="2" t="n">
        <v>0</v>
      </c>
      <c r="P344" s="2" t="n">
        <v>0</v>
      </c>
      <c r="Q344" s="2" t="n">
        <v>1</v>
      </c>
      <c r="R344" s="2" t="n">
        <v>1</v>
      </c>
      <c r="S344" s="2" t="n"/>
      <c r="T344" s="2">
        <f>IF(OR(S344="",R344=0),"",ROUND(S344*R344,2))</f>
        <v/>
      </c>
      <c r="U344" s="2" t="inlineStr"/>
    </row>
    <row r="345">
      <c r="A345" s="2" t="inlineStr">
        <is>
          <t>H</t>
        </is>
      </c>
      <c r="B345" s="2" t="inlineStr">
        <is>
          <t>DOORS - EXTERNAL</t>
        </is>
      </c>
      <c r="C345" s="2" t="inlineStr">
        <is>
          <t>P</t>
        </is>
      </c>
      <c r="D345" s="2" t="inlineStr">
        <is>
          <t>Ref. AL02, double louvers swing door, size 1500mm W x 2700mm H</t>
        </is>
      </c>
      <c r="E345" s="2" t="inlineStr">
        <is>
          <t>No</t>
        </is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1</v>
      </c>
      <c r="O345" s="2" t="n">
        <v>0</v>
      </c>
      <c r="P345" s="2" t="n">
        <v>0</v>
      </c>
      <c r="Q345" s="2" t="n">
        <v>1</v>
      </c>
      <c r="R345" s="2" t="n">
        <v>1</v>
      </c>
      <c r="S345" s="2" t="n"/>
      <c r="T345" s="2">
        <f>IF(OR(S345="",R345=0),"",ROUND(S345*R345,2))</f>
        <v/>
      </c>
      <c r="U345" s="2" t="inlineStr"/>
    </row>
    <row r="346">
      <c r="A346" s="2" t="inlineStr">
        <is>
          <t>H</t>
        </is>
      </c>
      <c r="B346" s="2" t="inlineStr">
        <is>
          <t>DOORS - EXTERNAL</t>
        </is>
      </c>
      <c r="C346" s="2" t="inlineStr">
        <is>
          <t>Q</t>
        </is>
      </c>
      <c r="D346" s="2" t="inlineStr">
        <is>
          <t>Ref. AL03 (D05), BI fold double louvers swing door, size 2700mm W x 2700mm H</t>
        </is>
      </c>
      <c r="E346" s="2" t="inlineStr">
        <is>
          <t>No</t>
        </is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1</v>
      </c>
      <c r="O346" s="2" t="n">
        <v>0</v>
      </c>
      <c r="P346" s="2" t="n">
        <v>0</v>
      </c>
      <c r="Q346" s="2" t="n">
        <v>1</v>
      </c>
      <c r="R346" s="2" t="n">
        <v>1</v>
      </c>
      <c r="S346" s="2" t="n"/>
      <c r="T346" s="2">
        <f>IF(OR(S346="",R346=0),"",ROUND(S346*R346,2))</f>
        <v/>
      </c>
      <c r="U346" s="2" t="inlineStr"/>
    </row>
    <row r="347">
      <c r="A347" s="2" t="inlineStr">
        <is>
          <t>H</t>
        </is>
      </c>
      <c r="B347" s="2" t="inlineStr">
        <is>
          <t>DOORS - EXTERNAL</t>
        </is>
      </c>
      <c r="C347" s="2" t="inlineStr">
        <is>
          <t>R</t>
        </is>
      </c>
      <c r="D347" s="2" t="inlineStr">
        <is>
          <t>Ref. AL04, double louvers swing door, size 2400mm W x 2700mm H</t>
        </is>
      </c>
      <c r="E347" s="2" t="inlineStr">
        <is>
          <t>No</t>
        </is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1</v>
      </c>
      <c r="O347" s="2" t="n">
        <v>0</v>
      </c>
      <c r="P347" s="2" t="n">
        <v>0</v>
      </c>
      <c r="Q347" s="2" t="n">
        <v>1</v>
      </c>
      <c r="R347" s="2" t="n">
        <v>1</v>
      </c>
      <c r="S347" s="2" t="n"/>
      <c r="T347" s="2">
        <f>IF(OR(S347="",R347=0),"",ROUND(S347*R347,2))</f>
        <v/>
      </c>
      <c r="U347" s="2" t="inlineStr"/>
    </row>
    <row r="348">
      <c r="A348" s="2" t="inlineStr">
        <is>
          <t>H</t>
        </is>
      </c>
      <c r="B348" s="2" t="inlineStr">
        <is>
          <t>DOORS - INTERNAL</t>
        </is>
      </c>
      <c r="C348" s="2" t="inlineStr">
        <is>
          <t>A</t>
        </is>
      </c>
      <c r="D348" s="2" t="inlineStr">
        <is>
          <t>D02, Single Swing Door, size 1100mm W x 2200mm H, to Bedrooms</t>
        </is>
      </c>
      <c r="E348" s="2" t="inlineStr">
        <is>
          <t>No</t>
        </is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5</v>
      </c>
      <c r="M348" s="2" t="n">
        <v>5</v>
      </c>
      <c r="N348" s="2" t="n">
        <v>0</v>
      </c>
      <c r="O348" s="2" t="n">
        <v>0</v>
      </c>
      <c r="P348" s="2" t="n">
        <v>0</v>
      </c>
      <c r="Q348" s="2" t="n">
        <v>10</v>
      </c>
      <c r="R348" s="2" t="n">
        <v>185</v>
      </c>
      <c r="S348" s="2" t="n"/>
      <c r="T348" s="2">
        <f>IF(OR(S348="",R348=0),"",ROUND(S348*R348,2))</f>
        <v/>
      </c>
      <c r="U348" s="2" t="inlineStr"/>
    </row>
    <row r="349">
      <c r="A349" s="2" t="inlineStr">
        <is>
          <t>H</t>
        </is>
      </c>
      <c r="B349" s="2" t="inlineStr">
        <is>
          <t>DOORS - INTERNAL</t>
        </is>
      </c>
      <c r="C349" s="2" t="inlineStr">
        <is>
          <t>A</t>
        </is>
      </c>
      <c r="D349" s="2" t="inlineStr">
        <is>
          <t>D02, Hardware SET-01</t>
        </is>
      </c>
      <c r="E349" s="2" t="inlineStr">
        <is>
          <t>No</t>
        </is>
      </c>
      <c r="F349" s="2" t="n">
        <v>18</v>
      </c>
      <c r="G349" s="2" t="n">
        <v>18</v>
      </c>
      <c r="H349" s="2" t="n">
        <v>26</v>
      </c>
      <c r="I349" s="2" t="n">
        <v>26</v>
      </c>
      <c r="J349" s="2" t="n">
        <v>34</v>
      </c>
      <c r="K349" s="2" t="n">
        <v>34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  <c r="Q349" s="2" t="n">
        <v>156</v>
      </c>
      <c r="R349" s="2" t="n">
        <v>2224</v>
      </c>
      <c r="S349" s="2" t="n"/>
      <c r="T349" s="2">
        <f>IF(OR(S349="",R349=0),"",ROUND(S349*R349,2))</f>
        <v/>
      </c>
      <c r="U349" s="2" t="inlineStr"/>
    </row>
    <row r="350">
      <c r="A350" s="2" t="inlineStr">
        <is>
          <t>H</t>
        </is>
      </c>
      <c r="B350" s="2" t="inlineStr">
        <is>
          <t>DOORS - INTERNAL</t>
        </is>
      </c>
      <c r="C350" s="2" t="inlineStr">
        <is>
          <t>B</t>
        </is>
      </c>
      <c r="D350" s="2" t="inlineStr">
        <is>
          <t>D03, Single Swing Door, size 1000mm W x 2200mm H, to Maid's Bedroom</t>
        </is>
      </c>
      <c r="E350" s="2" t="inlineStr">
        <is>
          <t>No</t>
        </is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1</v>
      </c>
      <c r="M350" s="2" t="n">
        <v>1</v>
      </c>
      <c r="N350" s="2" t="n">
        <v>0</v>
      </c>
      <c r="O350" s="2" t="n">
        <v>0</v>
      </c>
      <c r="P350" s="2" t="n">
        <v>0</v>
      </c>
      <c r="Q350" s="2" t="n">
        <v>2</v>
      </c>
      <c r="R350" s="2" t="n">
        <v>37</v>
      </c>
      <c r="S350" s="2" t="n"/>
      <c r="T350" s="2">
        <f>IF(OR(S350="",R350=0),"",ROUND(S350*R350,2))</f>
        <v/>
      </c>
      <c r="U350" s="2" t="inlineStr"/>
    </row>
    <row r="351">
      <c r="A351" s="2" t="inlineStr">
        <is>
          <t>H</t>
        </is>
      </c>
      <c r="B351" s="2" t="inlineStr">
        <is>
          <t>DOORS - INTERNAL</t>
        </is>
      </c>
      <c r="C351" s="2" t="inlineStr">
        <is>
          <t>B</t>
        </is>
      </c>
      <c r="D351" s="2" t="inlineStr">
        <is>
          <t>D03, Hardware SET-02</t>
        </is>
      </c>
      <c r="E351" s="2" t="inlineStr">
        <is>
          <t>No</t>
        </is>
      </c>
      <c r="F351" s="2" t="n">
        <v>14</v>
      </c>
      <c r="G351" s="2" t="n">
        <v>14</v>
      </c>
      <c r="H351" s="2" t="n">
        <v>20</v>
      </c>
      <c r="I351" s="2" t="n">
        <v>20</v>
      </c>
      <c r="J351" s="2" t="n">
        <v>28</v>
      </c>
      <c r="K351" s="2" t="n">
        <v>28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  <c r="Q351" s="2" t="n">
        <v>124</v>
      </c>
      <c r="R351" s="2" t="n">
        <v>1746</v>
      </c>
      <c r="S351" s="2" t="n"/>
      <c r="T351" s="2">
        <f>IF(OR(S351="",R351=0),"",ROUND(S351*R351,2))</f>
        <v/>
      </c>
      <c r="U351" s="2" t="inlineStr"/>
    </row>
    <row r="352">
      <c r="A352" s="2" t="inlineStr">
        <is>
          <t>H</t>
        </is>
      </c>
      <c r="B352" s="2" t="inlineStr">
        <is>
          <t>DOORS - INTERNAL</t>
        </is>
      </c>
      <c r="C352" s="2" t="inlineStr">
        <is>
          <t>C</t>
        </is>
      </c>
      <c r="D352" s="2" t="inlineStr">
        <is>
          <t>D04, Single Swing Door, size 1000mm W x 2200mm H, to Bathrooms &amp; Powder Room</t>
        </is>
      </c>
      <c r="E352" s="2" t="inlineStr">
        <is>
          <t>No</t>
        </is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5</v>
      </c>
      <c r="M352" s="2" t="n">
        <v>5</v>
      </c>
      <c r="N352" s="2" t="n">
        <v>0</v>
      </c>
      <c r="O352" s="2" t="n">
        <v>0</v>
      </c>
      <c r="P352" s="2" t="n">
        <v>0</v>
      </c>
      <c r="Q352" s="2" t="n">
        <v>10</v>
      </c>
      <c r="R352" s="2" t="n">
        <v>185</v>
      </c>
      <c r="S352" s="2" t="n"/>
      <c r="T352" s="2">
        <f>IF(OR(S352="",R352=0),"",ROUND(S352*R352,2))</f>
        <v/>
      </c>
      <c r="U352" s="2" t="inlineStr"/>
    </row>
    <row r="353">
      <c r="A353" s="2" t="inlineStr">
        <is>
          <t>H</t>
        </is>
      </c>
      <c r="B353" s="2" t="inlineStr">
        <is>
          <t>DOORS - INTERNAL</t>
        </is>
      </c>
      <c r="C353" s="2" t="inlineStr">
        <is>
          <t>C</t>
        </is>
      </c>
      <c r="D353" s="2" t="inlineStr">
        <is>
          <t>D04, Hardware SET-03</t>
        </is>
      </c>
      <c r="E353" s="2" t="inlineStr">
        <is>
          <t>No</t>
        </is>
      </c>
      <c r="F353" s="2" t="n">
        <v>4</v>
      </c>
      <c r="G353" s="2" t="n">
        <v>4</v>
      </c>
      <c r="H353" s="2" t="n">
        <v>6</v>
      </c>
      <c r="I353" s="2" t="n">
        <v>6</v>
      </c>
      <c r="J353" s="2" t="n">
        <v>8</v>
      </c>
      <c r="K353" s="2" t="n">
        <v>8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  <c r="Q353" s="2" t="n">
        <v>36</v>
      </c>
      <c r="R353" s="2" t="n">
        <v>510</v>
      </c>
      <c r="S353" s="2" t="n"/>
      <c r="T353" s="2">
        <f>IF(OR(S353="",R353=0),"",ROUND(S353*R353,2))</f>
        <v/>
      </c>
      <c r="U353" s="2" t="inlineStr"/>
    </row>
    <row r="354">
      <c r="A354" s="2" t="inlineStr">
        <is>
          <t>H</t>
        </is>
      </c>
      <c r="B354" s="2" t="inlineStr">
        <is>
          <t>DOORS - INTERNAL</t>
        </is>
      </c>
      <c r="C354" s="2" t="inlineStr">
        <is>
          <t>D</t>
        </is>
      </c>
      <c r="D354" s="2" t="inlineStr">
        <is>
          <t>D05, Single Swing Door, size 900mm W x 2200mm H, to Bathroom</t>
        </is>
      </c>
      <c r="E354" s="2" t="inlineStr">
        <is>
          <t>No</t>
        </is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1</v>
      </c>
      <c r="M354" s="2" t="n">
        <v>1</v>
      </c>
      <c r="N354" s="2" t="n">
        <v>0</v>
      </c>
      <c r="O354" s="2" t="n">
        <v>0</v>
      </c>
      <c r="P354" s="2" t="n">
        <v>0</v>
      </c>
      <c r="Q354" s="2" t="n">
        <v>2</v>
      </c>
      <c r="R354" s="2" t="n">
        <v>37</v>
      </c>
      <c r="S354" s="2" t="n"/>
      <c r="T354" s="2">
        <f>IF(OR(S354="",R354=0),"",ROUND(S354*R354,2))</f>
        <v/>
      </c>
      <c r="U354" s="2" t="inlineStr"/>
    </row>
    <row r="355">
      <c r="A355" s="2" t="inlineStr">
        <is>
          <t>H</t>
        </is>
      </c>
      <c r="B355" s="2" t="inlineStr">
        <is>
          <t>DOORS - INTERNAL</t>
        </is>
      </c>
      <c r="C355" s="2" t="inlineStr">
        <is>
          <t>D</t>
        </is>
      </c>
      <c r="D355" s="2" t="inlineStr">
        <is>
          <t>D05, Hardware SET-04</t>
        </is>
      </c>
      <c r="E355" s="2" t="inlineStr">
        <is>
          <t>No</t>
        </is>
      </c>
      <c r="F355" s="2" t="n">
        <v>4</v>
      </c>
      <c r="G355" s="2" t="n">
        <v>4</v>
      </c>
      <c r="H355" s="2" t="n">
        <v>6</v>
      </c>
      <c r="I355" s="2" t="n">
        <v>6</v>
      </c>
      <c r="J355" s="2" t="n">
        <v>8</v>
      </c>
      <c r="K355" s="2" t="n">
        <v>8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  <c r="Q355" s="2" t="n">
        <v>36</v>
      </c>
      <c r="R355" s="2" t="n">
        <v>510</v>
      </c>
      <c r="S355" s="2" t="n"/>
      <c r="T355" s="2">
        <f>IF(OR(S355="",R355=0),"",ROUND(S355*R355,2))</f>
        <v/>
      </c>
      <c r="U355" s="2" t="inlineStr"/>
    </row>
    <row r="356">
      <c r="A356" s="2" t="inlineStr">
        <is>
          <t>H</t>
        </is>
      </c>
      <c r="B356" s="2" t="inlineStr">
        <is>
          <t>DOORS - INTERNAL</t>
        </is>
      </c>
      <c r="C356" s="2" t="inlineStr">
        <is>
          <t>E</t>
        </is>
      </c>
      <c r="D356" s="2" t="inlineStr">
        <is>
          <t>D06, Single Swing Door, size 1000mm W x 2250mm H, to Maid's Bathroom</t>
        </is>
      </c>
      <c r="E356" s="2" t="inlineStr">
        <is>
          <t>No</t>
        </is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1</v>
      </c>
      <c r="M356" s="2" t="n">
        <v>1</v>
      </c>
      <c r="N356" s="2" t="n">
        <v>0</v>
      </c>
      <c r="O356" s="2" t="n">
        <v>0</v>
      </c>
      <c r="P356" s="2" t="n">
        <v>0</v>
      </c>
      <c r="Q356" s="2" t="n">
        <v>2</v>
      </c>
      <c r="R356" s="2" t="n">
        <v>37</v>
      </c>
      <c r="S356" s="2" t="n"/>
      <c r="T356" s="2">
        <f>IF(OR(S356="",R356=0),"",ROUND(S356*R356,2))</f>
        <v/>
      </c>
      <c r="U356" s="2" t="inlineStr"/>
    </row>
    <row r="357">
      <c r="A357" s="2" t="inlineStr">
        <is>
          <t>H</t>
        </is>
      </c>
      <c r="B357" s="2" t="inlineStr">
        <is>
          <t>DOORS - INTERNAL</t>
        </is>
      </c>
      <c r="C357" s="2" t="inlineStr">
        <is>
          <t>E</t>
        </is>
      </c>
      <c r="D357" s="2" t="inlineStr">
        <is>
          <t>D02, Hardware SET-01</t>
        </is>
      </c>
      <c r="E357" s="2" t="inlineStr">
        <is>
          <t>No</t>
        </is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5</v>
      </c>
      <c r="M357" s="2" t="n">
        <v>5</v>
      </c>
      <c r="N357" s="2" t="n">
        <v>0</v>
      </c>
      <c r="O357" s="2" t="n">
        <v>0</v>
      </c>
      <c r="P357" s="2" t="n">
        <v>0</v>
      </c>
      <c r="Q357" s="2" t="n">
        <v>10</v>
      </c>
      <c r="R357" s="2" t="n">
        <v>185</v>
      </c>
      <c r="S357" s="2" t="n"/>
      <c r="T357" s="2">
        <f>IF(OR(S357="",R357=0),"",ROUND(S357*R357,2))</f>
        <v/>
      </c>
      <c r="U357" s="2" t="inlineStr"/>
    </row>
    <row r="358">
      <c r="A358" s="2" t="inlineStr">
        <is>
          <t>H</t>
        </is>
      </c>
      <c r="B358" s="2" t="inlineStr">
        <is>
          <t>DOORS - INTERNAL</t>
        </is>
      </c>
      <c r="C358" s="2" t="inlineStr">
        <is>
          <t>F</t>
        </is>
      </c>
      <c r="D358" s="2" t="inlineStr">
        <is>
          <t>D07, Single Leaf Timber Folding Door, size 900mm W x 2200mm H, to Store</t>
        </is>
      </c>
      <c r="E358" s="2" t="inlineStr">
        <is>
          <t>No</t>
        </is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1</v>
      </c>
      <c r="M358" s="2" t="n">
        <v>1</v>
      </c>
      <c r="N358" s="2" t="n">
        <v>0</v>
      </c>
      <c r="O358" s="2" t="n">
        <v>0</v>
      </c>
      <c r="P358" s="2" t="n">
        <v>0</v>
      </c>
      <c r="Q358" s="2" t="n">
        <v>2</v>
      </c>
      <c r="R358" s="2" t="n">
        <v>37</v>
      </c>
      <c r="S358" s="2" t="n"/>
      <c r="T358" s="2">
        <f>IF(OR(S358="",R358=0),"",ROUND(S358*R358,2))</f>
        <v/>
      </c>
      <c r="U358" s="2" t="inlineStr"/>
    </row>
    <row r="359">
      <c r="A359" s="2" t="inlineStr">
        <is>
          <t>H</t>
        </is>
      </c>
      <c r="B359" s="2" t="inlineStr">
        <is>
          <t>DOORS - INTERNAL</t>
        </is>
      </c>
      <c r="C359" s="2" t="inlineStr">
        <is>
          <t>F</t>
        </is>
      </c>
      <c r="D359" s="2" t="inlineStr">
        <is>
          <t>D03, Hardware SET-01</t>
        </is>
      </c>
      <c r="E359" s="2" t="inlineStr">
        <is>
          <t>No</t>
        </is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1</v>
      </c>
      <c r="M359" s="2" t="n">
        <v>1</v>
      </c>
      <c r="N359" s="2" t="n">
        <v>0</v>
      </c>
      <c r="O359" s="2" t="n">
        <v>0</v>
      </c>
      <c r="P359" s="2" t="n">
        <v>0</v>
      </c>
      <c r="Q359" s="2" t="n">
        <v>2</v>
      </c>
      <c r="R359" s="2" t="n">
        <v>37</v>
      </c>
      <c r="S359" s="2" t="n"/>
      <c r="T359" s="2">
        <f>IF(OR(S359="",R359=0),"",ROUND(S359*R359,2))</f>
        <v/>
      </c>
      <c r="U359" s="2" t="inlineStr"/>
    </row>
    <row r="360">
      <c r="A360" s="2" t="inlineStr">
        <is>
          <t>H</t>
        </is>
      </c>
      <c r="B360" s="2" t="inlineStr">
        <is>
          <t>DOORS - INTERNAL</t>
        </is>
      </c>
      <c r="C360" s="2" t="inlineStr">
        <is>
          <t>G</t>
        </is>
      </c>
      <c r="D360" s="2" t="inlineStr">
        <is>
          <t>D02, Single Leaf Timber Door, size 1100mm W x 2200mm H, to Bedrooms</t>
        </is>
      </c>
      <c r="E360" s="2" t="inlineStr">
        <is>
          <t>No</t>
        </is>
      </c>
      <c r="F360" s="2" t="n">
        <v>18</v>
      </c>
      <c r="G360" s="2" t="n">
        <v>18</v>
      </c>
      <c r="H360" s="2" t="n">
        <v>26</v>
      </c>
      <c r="I360" s="2" t="n">
        <v>26</v>
      </c>
      <c r="J360" s="2" t="n">
        <v>34</v>
      </c>
      <c r="K360" s="2" t="n">
        <v>34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  <c r="Q360" s="2" t="n">
        <v>156</v>
      </c>
      <c r="R360" s="2" t="n">
        <v>2224</v>
      </c>
      <c r="S360" s="2" t="n"/>
      <c r="T360" s="2">
        <f>IF(OR(S360="",R360=0),"",ROUND(S360*R360,2))</f>
        <v/>
      </c>
      <c r="U360" s="2" t="inlineStr"/>
    </row>
    <row r="361">
      <c r="A361" s="2" t="inlineStr">
        <is>
          <t>H</t>
        </is>
      </c>
      <c r="B361" s="2" t="inlineStr">
        <is>
          <t>DOORS - INTERNAL</t>
        </is>
      </c>
      <c r="C361" s="2" t="inlineStr">
        <is>
          <t>G</t>
        </is>
      </c>
      <c r="D361" s="2" t="inlineStr">
        <is>
          <t>D04, Hardware SET-02</t>
        </is>
      </c>
      <c r="E361" s="2" t="inlineStr">
        <is>
          <t>No</t>
        </is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5</v>
      </c>
      <c r="M361" s="2" t="n">
        <v>5</v>
      </c>
      <c r="N361" s="2" t="n">
        <v>0</v>
      </c>
      <c r="O361" s="2" t="n">
        <v>0</v>
      </c>
      <c r="P361" s="2" t="n">
        <v>0</v>
      </c>
      <c r="Q361" s="2" t="n">
        <v>10</v>
      </c>
      <c r="R361" s="2" t="n">
        <v>185</v>
      </c>
      <c r="S361" s="2" t="n"/>
      <c r="T361" s="2">
        <f>IF(OR(S361="",R361=0),"",ROUND(S361*R361,2))</f>
        <v/>
      </c>
      <c r="U361" s="2" t="inlineStr"/>
    </row>
    <row r="362">
      <c r="A362" s="2" t="inlineStr">
        <is>
          <t>H</t>
        </is>
      </c>
      <c r="B362" s="2" t="inlineStr">
        <is>
          <t>DOORS - INTERNAL</t>
        </is>
      </c>
      <c r="C362" s="2" t="inlineStr">
        <is>
          <t>H</t>
        </is>
      </c>
      <c r="D362" s="2" t="inlineStr">
        <is>
          <t>D03, Single Leaf Timber Door, size 900mm W x 2200mm H, to Bathrooms</t>
        </is>
      </c>
      <c r="E362" s="2" t="inlineStr">
        <is>
          <t>No</t>
        </is>
      </c>
      <c r="F362" s="2" t="n">
        <v>14</v>
      </c>
      <c r="G362" s="2" t="n">
        <v>14</v>
      </c>
      <c r="H362" s="2" t="n">
        <v>20</v>
      </c>
      <c r="I362" s="2" t="n">
        <v>20</v>
      </c>
      <c r="J362" s="2" t="n">
        <v>26</v>
      </c>
      <c r="K362" s="2" t="n">
        <v>26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120</v>
      </c>
      <c r="R362" s="2" t="n">
        <v>1714</v>
      </c>
      <c r="S362" s="2" t="n"/>
      <c r="T362" s="2">
        <f>IF(OR(S362="",R362=0),"",ROUND(S362*R362,2))</f>
        <v/>
      </c>
      <c r="U362" s="2" t="inlineStr"/>
    </row>
    <row r="363">
      <c r="A363" s="2" t="inlineStr">
        <is>
          <t>H</t>
        </is>
      </c>
      <c r="B363" s="2" t="inlineStr">
        <is>
          <t>DOORS - INTERNAL</t>
        </is>
      </c>
      <c r="C363" s="2" t="inlineStr">
        <is>
          <t>H</t>
        </is>
      </c>
      <c r="D363" s="2" t="inlineStr">
        <is>
          <t>D05, Hardware SET-02</t>
        </is>
      </c>
      <c r="E363" s="2" t="inlineStr">
        <is>
          <t>No</t>
        </is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1</v>
      </c>
      <c r="M363" s="2" t="n">
        <v>1</v>
      </c>
      <c r="N363" s="2" t="n">
        <v>0</v>
      </c>
      <c r="O363" s="2" t="n">
        <v>0</v>
      </c>
      <c r="P363" s="2" t="n">
        <v>0</v>
      </c>
      <c r="Q363" s="2" t="n">
        <v>2</v>
      </c>
      <c r="R363" s="2" t="n">
        <v>37</v>
      </c>
      <c r="S363" s="2" t="n"/>
      <c r="T363" s="2">
        <f>IF(OR(S363="",R363=0),"",ROUND(S363*R363,2))</f>
        <v/>
      </c>
      <c r="U363" s="2" t="inlineStr"/>
    </row>
    <row r="364">
      <c r="A364" s="2" t="inlineStr">
        <is>
          <t>H</t>
        </is>
      </c>
      <c r="B364" s="2" t="inlineStr">
        <is>
          <t>DOORS - INTERNAL</t>
        </is>
      </c>
      <c r="C364" s="2" t="inlineStr">
        <is>
          <t>J</t>
        </is>
      </c>
      <c r="D364" s="2" t="inlineStr">
        <is>
          <t>Ref. D01, Single leaf wooden swing door size, 900mm W x 2200mm H to Guard Room</t>
        </is>
      </c>
      <c r="E364" s="2" t="inlineStr">
        <is>
          <t>No</t>
        </is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1</v>
      </c>
      <c r="P364" s="2" t="n">
        <v>0</v>
      </c>
      <c r="Q364" s="2" t="n">
        <v>1</v>
      </c>
      <c r="R364" s="2" t="n">
        <v>1</v>
      </c>
      <c r="S364" s="2" t="n"/>
      <c r="T364" s="2">
        <f>IF(OR(S364="",R364=0),"",ROUND(S364*R364,2))</f>
        <v/>
      </c>
      <c r="U364" s="2" t="inlineStr"/>
    </row>
    <row r="365">
      <c r="A365" s="2" t="inlineStr">
        <is>
          <t>H</t>
        </is>
      </c>
      <c r="B365" s="2" t="inlineStr">
        <is>
          <t>DOORS - INTERNAL</t>
        </is>
      </c>
      <c r="C365" s="2" t="inlineStr">
        <is>
          <t>J</t>
        </is>
      </c>
      <c r="D365" s="2" t="inlineStr">
        <is>
          <t>D06, Hardware SET-02</t>
        </is>
      </c>
      <c r="E365" s="2" t="inlineStr">
        <is>
          <t>No</t>
        </is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1</v>
      </c>
      <c r="M365" s="2" t="n">
        <v>1</v>
      </c>
      <c r="N365" s="2" t="n">
        <v>0</v>
      </c>
      <c r="O365" s="2" t="n">
        <v>0</v>
      </c>
      <c r="P365" s="2" t="n">
        <v>0</v>
      </c>
      <c r="Q365" s="2" t="n">
        <v>2</v>
      </c>
      <c r="R365" s="2" t="n">
        <v>37</v>
      </c>
      <c r="S365" s="2" t="n"/>
      <c r="T365" s="2">
        <f>IF(OR(S365="",R365=0),"",ROUND(S365*R365,2))</f>
        <v/>
      </c>
      <c r="U365" s="2" t="inlineStr"/>
    </row>
    <row r="366">
      <c r="A366" s="2" t="inlineStr">
        <is>
          <t>H</t>
        </is>
      </c>
      <c r="B366" s="2" t="inlineStr">
        <is>
          <t>DOORS - INTERNAL</t>
        </is>
      </c>
      <c r="C366" s="2" t="inlineStr">
        <is>
          <t>K</t>
        </is>
      </c>
      <c r="D366" s="2" t="inlineStr">
        <is>
          <t>Ref. D02, Double leaf wooden swing door, 900mm W x 2200mm H to IT Rack</t>
        </is>
      </c>
      <c r="E366" s="2" t="inlineStr">
        <is>
          <t>No</t>
        </is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1</v>
      </c>
      <c r="P366" s="2" t="n">
        <v>0</v>
      </c>
      <c r="Q366" s="2" t="n">
        <v>1</v>
      </c>
      <c r="R366" s="2" t="n">
        <v>1</v>
      </c>
      <c r="S366" s="2" t="n"/>
      <c r="T366" s="2">
        <f>IF(OR(S366="",R366=0),"",ROUND(S366*R366,2))</f>
        <v/>
      </c>
      <c r="U366" s="2" t="inlineStr"/>
    </row>
    <row r="367">
      <c r="A367" s="2" t="inlineStr">
        <is>
          <t>H</t>
        </is>
      </c>
      <c r="B367" s="2" t="inlineStr">
        <is>
          <t>DOORS - INTERNAL</t>
        </is>
      </c>
      <c r="C367" s="2" t="inlineStr">
        <is>
          <t>K</t>
        </is>
      </c>
      <c r="D367" s="2" t="inlineStr">
        <is>
          <t>D07, Hardware SET-05</t>
        </is>
      </c>
      <c r="E367" s="2" t="inlineStr">
        <is>
          <t>No</t>
        </is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1</v>
      </c>
      <c r="M367" s="2" t="n">
        <v>1</v>
      </c>
      <c r="N367" s="2" t="n">
        <v>0</v>
      </c>
      <c r="O367" s="2" t="n">
        <v>0</v>
      </c>
      <c r="P367" s="2" t="n">
        <v>0</v>
      </c>
      <c r="Q367" s="2" t="n">
        <v>2</v>
      </c>
      <c r="R367" s="2" t="n">
        <v>37</v>
      </c>
      <c r="S367" s="2" t="n"/>
      <c r="T367" s="2">
        <f>IF(OR(S367="",R367=0),"",ROUND(S367*R367,2))</f>
        <v/>
      </c>
      <c r="U367" s="2" t="inlineStr"/>
    </row>
    <row r="368">
      <c r="A368" s="2" t="inlineStr">
        <is>
          <t>H</t>
        </is>
      </c>
      <c r="B368" s="2" t="inlineStr">
        <is>
          <t>DOORS - INTERNAL</t>
        </is>
      </c>
      <c r="C368" s="2" t="inlineStr">
        <is>
          <t>L</t>
        </is>
      </c>
      <c r="D368" s="2" t="inlineStr">
        <is>
          <t>Ref. D01, single shutter swing door, size 1250mm W x 2200mm H</t>
        </is>
      </c>
      <c r="E368" s="2" t="inlineStr">
        <is>
          <t>No</t>
        </is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1</v>
      </c>
      <c r="O368" s="2" t="n">
        <v>0</v>
      </c>
      <c r="P368" s="2" t="n">
        <v>0</v>
      </c>
      <c r="Q368" s="2" t="n">
        <v>1</v>
      </c>
      <c r="R368" s="2" t="n">
        <v>1</v>
      </c>
      <c r="S368" s="2" t="n"/>
      <c r="T368" s="2">
        <f>IF(OR(S368="",R368=0),"",ROUND(S368*R368,2))</f>
        <v/>
      </c>
      <c r="U368" s="2" t="inlineStr"/>
    </row>
    <row r="369">
      <c r="A369" s="2" t="inlineStr">
        <is>
          <t>H</t>
        </is>
      </c>
      <c r="B369" s="2" t="inlineStr">
        <is>
          <t>DOORS - INTERNAL</t>
        </is>
      </c>
      <c r="C369" s="2" t="inlineStr">
        <is>
          <t>L</t>
        </is>
      </c>
      <c r="D369" s="2" t="inlineStr">
        <is>
          <t>D08, Hardware SET-04</t>
        </is>
      </c>
      <c r="E369" s="2" t="inlineStr">
        <is>
          <t>No</t>
        </is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1</v>
      </c>
      <c r="M369" s="2" t="n">
        <v>1</v>
      </c>
      <c r="N369" s="2" t="n">
        <v>0</v>
      </c>
      <c r="O369" s="2" t="n">
        <v>0</v>
      </c>
      <c r="P369" s="2" t="n">
        <v>0</v>
      </c>
      <c r="Q369" s="2" t="n">
        <v>2</v>
      </c>
      <c r="R369" s="2" t="n">
        <v>37</v>
      </c>
      <c r="S369" s="2" t="n"/>
      <c r="T369" s="2">
        <f>IF(OR(S369="",R369=0),"",ROUND(S369*R369,2))</f>
        <v/>
      </c>
      <c r="U369" s="2" t="inlineStr"/>
    </row>
    <row r="370">
      <c r="A370" s="2" t="inlineStr">
        <is>
          <t>H</t>
        </is>
      </c>
      <c r="B370" s="2" t="inlineStr">
        <is>
          <t>DOORS - INTERNAL</t>
        </is>
      </c>
      <c r="C370" s="2" t="inlineStr">
        <is>
          <t>M</t>
        </is>
      </c>
      <c r="D370" s="2" t="inlineStr">
        <is>
          <t>Ref. D02, size 1100mm W x 2200mm H</t>
        </is>
      </c>
      <c r="E370" s="2" t="inlineStr">
        <is>
          <t>No</t>
        </is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3</v>
      </c>
      <c r="O370" s="2" t="n">
        <v>0</v>
      </c>
      <c r="P370" s="2" t="n">
        <v>0</v>
      </c>
      <c r="Q370" s="2" t="n">
        <v>3</v>
      </c>
      <c r="R370" s="2" t="n">
        <v>3</v>
      </c>
      <c r="S370" s="2" t="n"/>
      <c r="T370" s="2">
        <f>IF(OR(S370="",R370=0),"",ROUND(S370*R370,2))</f>
        <v/>
      </c>
      <c r="U370" s="2" t="inlineStr"/>
    </row>
    <row r="371">
      <c r="A371" s="2" t="inlineStr">
        <is>
          <t>H</t>
        </is>
      </c>
      <c r="B371" s="2" t="inlineStr">
        <is>
          <t>DOORS - INTERNAL</t>
        </is>
      </c>
      <c r="C371" s="2" t="inlineStr">
        <is>
          <t>M</t>
        </is>
      </c>
      <c r="D371" s="2" t="inlineStr">
        <is>
          <t>D02, Hardware CC-006</t>
        </is>
      </c>
      <c r="E371" s="2" t="inlineStr">
        <is>
          <t>No</t>
        </is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2</v>
      </c>
      <c r="O371" s="2" t="n">
        <v>0</v>
      </c>
      <c r="P371" s="2" t="n">
        <v>0</v>
      </c>
      <c r="Q371" s="2" t="n">
        <v>2</v>
      </c>
      <c r="R371" s="2" t="n">
        <v>2</v>
      </c>
      <c r="S371" s="2" t="n"/>
      <c r="T371" s="2">
        <f>IF(OR(S371="",R371=0),"",ROUND(S371*R371,2))</f>
        <v/>
      </c>
      <c r="U371" s="2" t="inlineStr"/>
    </row>
    <row r="372">
      <c r="A372" s="2" t="inlineStr">
        <is>
          <t>H</t>
        </is>
      </c>
      <c r="B372" s="2" t="inlineStr">
        <is>
          <t>DOORS - INTERNAL</t>
        </is>
      </c>
      <c r="C372" s="2" t="inlineStr">
        <is>
          <t>N</t>
        </is>
      </c>
      <c r="D372" s="2" t="inlineStr">
        <is>
          <t>Ref. D04, size 900mm W x 2700mm H</t>
        </is>
      </c>
      <c r="E372" s="2" t="inlineStr">
        <is>
          <t>No</t>
        </is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1</v>
      </c>
      <c r="O372" s="2" t="n">
        <v>0</v>
      </c>
      <c r="P372" s="2" t="n">
        <v>0</v>
      </c>
      <c r="Q372" s="2" t="n">
        <v>1</v>
      </c>
      <c r="R372" s="2" t="n">
        <v>1</v>
      </c>
      <c r="S372" s="2" t="n"/>
      <c r="T372" s="2">
        <f>IF(OR(S372="",R372=0),"",ROUND(S372*R372,2))</f>
        <v/>
      </c>
      <c r="U372" s="2" t="inlineStr"/>
    </row>
    <row r="373">
      <c r="A373" s="2" t="inlineStr">
        <is>
          <t>H</t>
        </is>
      </c>
      <c r="B373" s="2" t="inlineStr">
        <is>
          <t>DOORS - INTERNAL</t>
        </is>
      </c>
      <c r="C373" s="2" t="inlineStr">
        <is>
          <t>N</t>
        </is>
      </c>
      <c r="D373" s="2" t="inlineStr">
        <is>
          <t>D02, Hardware CC-005</t>
        </is>
      </c>
      <c r="E373" s="2" t="inlineStr">
        <is>
          <t>No</t>
        </is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1</v>
      </c>
      <c r="O373" s="2" t="n">
        <v>0</v>
      </c>
      <c r="P373" s="2" t="n">
        <v>0</v>
      </c>
      <c r="Q373" s="2" t="n">
        <v>1</v>
      </c>
      <c r="R373" s="2" t="n">
        <v>1</v>
      </c>
      <c r="S373" s="2" t="n"/>
      <c r="T373" s="2">
        <f>IF(OR(S373="",R373=0),"",ROUND(S373*R373,2))</f>
        <v/>
      </c>
      <c r="U373" s="2" t="inlineStr"/>
    </row>
    <row r="374">
      <c r="A374" s="2" t="inlineStr">
        <is>
          <t>H</t>
        </is>
      </c>
      <c r="B374" s="2" t="inlineStr">
        <is>
          <t>DOORS - INTERNAL</t>
        </is>
      </c>
      <c r="C374" s="2" t="inlineStr">
        <is>
          <t>P</t>
        </is>
      </c>
      <c r="D374" s="2" t="inlineStr">
        <is>
          <t>D05, Double Swing Door, size 850mm W x 2200mm H, to Laundry</t>
        </is>
      </c>
      <c r="E374" s="2" t="inlineStr">
        <is>
          <t>No</t>
        </is>
      </c>
      <c r="F374" s="2" t="n">
        <v>4</v>
      </c>
      <c r="G374" s="2" t="n">
        <v>4</v>
      </c>
      <c r="H374" s="2" t="n">
        <v>6</v>
      </c>
      <c r="I374" s="2" t="n">
        <v>6</v>
      </c>
      <c r="J374" s="2" t="n">
        <v>8</v>
      </c>
      <c r="K374" s="2" t="n">
        <v>8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  <c r="Q374" s="2" t="n">
        <v>36</v>
      </c>
      <c r="R374" s="2" t="n">
        <v>510</v>
      </c>
      <c r="S374" s="2" t="n"/>
      <c r="T374" s="2">
        <f>IF(OR(S374="",R374=0),"",ROUND(S374*R374,2))</f>
        <v/>
      </c>
      <c r="U374" s="2" t="inlineStr"/>
    </row>
    <row r="375">
      <c r="A375" s="2" t="inlineStr">
        <is>
          <t>H</t>
        </is>
      </c>
      <c r="B375" s="2" t="inlineStr">
        <is>
          <t>DOORS - INTERNAL</t>
        </is>
      </c>
      <c r="C375" s="2" t="inlineStr">
        <is>
          <t>P</t>
        </is>
      </c>
      <c r="D375" s="2" t="inlineStr">
        <is>
          <t>D04, Hardware CC-003</t>
        </is>
      </c>
      <c r="E375" s="2" t="inlineStr">
        <is>
          <t>No</t>
        </is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1</v>
      </c>
      <c r="O375" s="2" t="n">
        <v>0</v>
      </c>
      <c r="P375" s="2" t="n">
        <v>0</v>
      </c>
      <c r="Q375" s="2" t="n">
        <v>1</v>
      </c>
      <c r="R375" s="2" t="n">
        <v>1</v>
      </c>
      <c r="S375" s="2" t="n"/>
      <c r="T375" s="2">
        <f>IF(OR(S375="",R375=0),"",ROUND(S375*R375,2))</f>
        <v/>
      </c>
      <c r="U375" s="2" t="inlineStr"/>
    </row>
    <row r="376">
      <c r="A376" s="2" t="inlineStr">
        <is>
          <t>H</t>
        </is>
      </c>
      <c r="B376" s="2" t="inlineStr">
        <is>
          <t>DOORS - INTERNAL</t>
        </is>
      </c>
      <c r="C376" s="2" t="inlineStr">
        <is>
          <t>Q</t>
        </is>
      </c>
      <c r="D376" s="2" t="inlineStr">
        <is>
          <t>D04, Double Leaf Timber Folding Door, size 900mm W x 2200mm H, to Maid's Bathroom</t>
        </is>
      </c>
      <c r="E376" s="2" t="inlineStr">
        <is>
          <t>No</t>
        </is>
      </c>
      <c r="F376" s="2" t="n">
        <v>4</v>
      </c>
      <c r="G376" s="2" t="n">
        <v>4</v>
      </c>
      <c r="H376" s="2" t="n">
        <v>6</v>
      </c>
      <c r="I376" s="2" t="n">
        <v>6</v>
      </c>
      <c r="J376" s="2" t="n">
        <v>8</v>
      </c>
      <c r="K376" s="2" t="n">
        <v>8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0</v>
      </c>
      <c r="Q376" s="2" t="n">
        <v>36</v>
      </c>
      <c r="R376" s="2" t="n">
        <v>510</v>
      </c>
      <c r="S376" s="2" t="n"/>
      <c r="T376" s="2">
        <f>IF(OR(S376="",R376=0),"",ROUND(S376*R376,2))</f>
        <v/>
      </c>
      <c r="U376" s="2" t="inlineStr"/>
    </row>
    <row r="377">
      <c r="A377" s="2" t="inlineStr">
        <is>
          <t>H</t>
        </is>
      </c>
      <c r="B377" s="2" t="inlineStr">
        <is>
          <t>DOORS - INTERNAL</t>
        </is>
      </c>
      <c r="C377" s="2" t="inlineStr">
        <is>
          <t>Q</t>
        </is>
      </c>
      <c r="D377" s="2" t="inlineStr">
        <is>
          <t>D01, Hardware CC-007</t>
        </is>
      </c>
      <c r="E377" s="2" t="inlineStr">
        <is>
          <t>No</t>
        </is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1</v>
      </c>
      <c r="O377" s="2" t="n">
        <v>0</v>
      </c>
      <c r="P377" s="2" t="n">
        <v>0</v>
      </c>
      <c r="Q377" s="2" t="n">
        <v>1</v>
      </c>
      <c r="R377" s="2" t="n">
        <v>1</v>
      </c>
      <c r="S377" s="2" t="n"/>
      <c r="T377" s="2">
        <f>IF(OR(S377="",R377=0),"",ROUND(S377*R377,2))</f>
        <v/>
      </c>
      <c r="U377" s="2" t="inlineStr"/>
    </row>
    <row r="378">
      <c r="A378" s="2" t="inlineStr">
        <is>
          <t>H</t>
        </is>
      </c>
      <c r="B378" s="2" t="inlineStr">
        <is>
          <t>DOORS - INTERNAL</t>
        </is>
      </c>
      <c r="C378" s="2" t="inlineStr">
        <is>
          <t>R</t>
        </is>
      </c>
      <c r="D378" s="2" t="inlineStr">
        <is>
          <t>D08, Double Leaf Timber Folding Door, size 1300mm W x 2200mm H, to Laundry</t>
        </is>
      </c>
      <c r="E378" s="2" t="inlineStr">
        <is>
          <t>No</t>
        </is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1</v>
      </c>
      <c r="M378" s="2" t="n">
        <v>1</v>
      </c>
      <c r="N378" s="2" t="n">
        <v>0</v>
      </c>
      <c r="O378" s="2" t="n">
        <v>0</v>
      </c>
      <c r="P378" s="2" t="n">
        <v>0</v>
      </c>
      <c r="Q378" s="2" t="n">
        <v>2</v>
      </c>
      <c r="R378" s="2" t="n">
        <v>37</v>
      </c>
      <c r="S378" s="2" t="n"/>
      <c r="T378" s="2">
        <f>IF(OR(S378="",R378=0),"",ROUND(S378*R378,2))</f>
        <v/>
      </c>
      <c r="U378" s="2" t="inlineStr"/>
    </row>
    <row r="379">
      <c r="A379" s="2" t="inlineStr">
        <is>
          <t>H</t>
        </is>
      </c>
      <c r="B379" s="2" t="inlineStr">
        <is>
          <t>DOORS - INTERNAL</t>
        </is>
      </c>
      <c r="C379" s="2" t="inlineStr">
        <is>
          <t>R</t>
        </is>
      </c>
      <c r="D379" s="2" t="inlineStr">
        <is>
          <t>Hardware set GH-001</t>
        </is>
      </c>
      <c r="E379" s="2" t="inlineStr">
        <is>
          <t>No</t>
        </is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1</v>
      </c>
      <c r="P379" s="2" t="n">
        <v>0</v>
      </c>
      <c r="Q379" s="2" t="n">
        <v>1</v>
      </c>
      <c r="R379" s="2" t="n">
        <v>1</v>
      </c>
      <c r="S379" s="2" t="n"/>
      <c r="T379" s="2">
        <f>IF(OR(S379="",R379=0),"",ROUND(S379*R379,2))</f>
        <v/>
      </c>
      <c r="U379" s="2" t="inlineStr"/>
    </row>
    <row r="380">
      <c r="A380" s="2" t="inlineStr">
        <is>
          <t>H</t>
        </is>
      </c>
      <c r="B380" s="2" t="inlineStr">
        <is>
          <t>DOORS - INTERNAL</t>
        </is>
      </c>
      <c r="C380" s="2" t="inlineStr">
        <is>
          <t>S</t>
        </is>
      </c>
      <c r="D380" s="2" t="inlineStr">
        <is>
          <t>Hardware set GH-002</t>
        </is>
      </c>
      <c r="E380" s="2" t="inlineStr">
        <is>
          <t>No</t>
        </is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1</v>
      </c>
      <c r="P380" s="2" t="n">
        <v>0</v>
      </c>
      <c r="Q380" s="2" t="n">
        <v>1</v>
      </c>
      <c r="R380" s="2" t="n">
        <v>1</v>
      </c>
      <c r="S380" s="2" t="n"/>
      <c r="T380" s="2">
        <f>IF(OR(S380="",R380=0),"",ROUND(S380*R380,2))</f>
        <v/>
      </c>
      <c r="U380" s="2" t="inlineStr"/>
    </row>
    <row r="381">
      <c r="A381" s="2" t="inlineStr">
        <is>
          <t>H</t>
        </is>
      </c>
      <c r="B381" s="2" t="inlineStr">
        <is>
          <t>DOORS - INTERNAL</t>
        </is>
      </c>
      <c r="C381" s="2" t="inlineStr">
        <is>
          <t>T</t>
        </is>
      </c>
      <c r="D381" s="2" t="inlineStr">
        <is>
          <t>Ref. D03, size 700mm W x 2200mm H (washroom door)</t>
        </is>
      </c>
      <c r="E381" s="2" t="inlineStr">
        <is>
          <t>No</t>
        </is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1</v>
      </c>
      <c r="O381" s="2" t="n">
        <v>0</v>
      </c>
      <c r="P381" s="2" t="n">
        <v>0</v>
      </c>
      <c r="Q381" s="2" t="n">
        <v>1</v>
      </c>
      <c r="R381" s="2" t="n">
        <v>1</v>
      </c>
      <c r="S381" s="2" t="n"/>
      <c r="T381" s="2">
        <f>IF(OR(S381="",R381=0),"",ROUND(S381*R381,2))</f>
        <v/>
      </c>
      <c r="U381" s="2" t="inlineStr"/>
    </row>
    <row r="382">
      <c r="A382" s="2" t="inlineStr">
        <is>
          <t>H</t>
        </is>
      </c>
      <c r="B382" s="2" t="inlineStr">
        <is>
          <t>DOORS - INTERNAL</t>
        </is>
      </c>
      <c r="C382" s="2" t="inlineStr">
        <is>
          <t>U</t>
        </is>
      </c>
      <c r="D382" s="2" t="inlineStr">
        <is>
          <t>Ref. GL-03, double sliding door, size 2200mm W x 2900mm H</t>
        </is>
      </c>
      <c r="E382" s="2" t="inlineStr">
        <is>
          <t>No</t>
        </is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1</v>
      </c>
      <c r="O382" s="2" t="n">
        <v>0</v>
      </c>
      <c r="P382" s="2" t="n">
        <v>0</v>
      </c>
      <c r="Q382" s="2" t="n">
        <v>1</v>
      </c>
      <c r="R382" s="2" t="n">
        <v>1</v>
      </c>
      <c r="S382" s="2" t="n"/>
      <c r="T382" s="2">
        <f>IF(OR(S382="",R382=0),"",ROUND(S382*R382,2))</f>
        <v/>
      </c>
      <c r="U382" s="2" t="inlineStr"/>
    </row>
    <row r="383">
      <c r="A383" s="2" t="inlineStr">
        <is>
          <t>H</t>
        </is>
      </c>
      <c r="B383" s="2" t="inlineStr">
        <is>
          <t>INTERNAL GLASS PARTITIONS</t>
        </is>
      </c>
      <c r="C383" s="2" t="inlineStr">
        <is>
          <t>A</t>
        </is>
      </c>
      <c r="D383" s="2" t="inlineStr">
        <is>
          <t>Bathtub Glass Partition, size 800mm W x 1900mm H - 4bed bathroom 1</t>
        </is>
      </c>
      <c r="E383" s="2" t="inlineStr">
        <is>
          <t>No</t>
        </is>
      </c>
      <c r="F383" s="2" t="n">
        <v>2</v>
      </c>
      <c r="G383" s="2" t="n">
        <v>2</v>
      </c>
      <c r="H383" s="2" t="n">
        <v>2</v>
      </c>
      <c r="I383" s="2" t="n">
        <v>2</v>
      </c>
      <c r="J383" s="2" t="n">
        <v>2</v>
      </c>
      <c r="K383" s="2" t="n">
        <v>2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  <c r="Q383" s="2" t="n">
        <v>12</v>
      </c>
      <c r="R383" s="2" t="n">
        <v>184</v>
      </c>
      <c r="S383" s="2" t="n"/>
      <c r="T383" s="2">
        <f>IF(OR(S383="",R383=0),"",ROUND(S383*R383,2))</f>
        <v/>
      </c>
      <c r="U383" s="2" t="inlineStr"/>
    </row>
    <row r="384">
      <c r="A384" s="2" t="inlineStr">
        <is>
          <t>H</t>
        </is>
      </c>
      <c r="B384" s="2" t="inlineStr">
        <is>
          <t>INTERNAL GLASS PARTITIONS</t>
        </is>
      </c>
      <c r="C384" s="2" t="inlineStr">
        <is>
          <t>A</t>
        </is>
      </c>
      <c r="D384" s="2" t="inlineStr">
        <is>
          <t>Shower Glass Partition, size 1465mm W x 2400mm H including 1No of GL-01, Single Swing Glass Door size 700mm W x 2050mm H - 4bed guest bathroom</t>
        </is>
      </c>
      <c r="E384" s="2" t="inlineStr">
        <is>
          <t>No</t>
        </is>
      </c>
      <c r="F384" s="2" t="n">
        <v>2</v>
      </c>
      <c r="G384" s="2" t="n">
        <v>2</v>
      </c>
      <c r="H384" s="2" t="n">
        <v>2</v>
      </c>
      <c r="I384" s="2" t="n">
        <v>2</v>
      </c>
      <c r="J384" s="2" t="n">
        <v>2</v>
      </c>
      <c r="K384" s="2" t="n">
        <v>2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12</v>
      </c>
      <c r="R384" s="2" t="n">
        <v>184</v>
      </c>
      <c r="S384" s="2" t="n"/>
      <c r="T384" s="2">
        <f>IF(OR(S384="",R384=0),"",ROUND(S384*R384,2))</f>
        <v/>
      </c>
      <c r="U384" s="2" t="inlineStr"/>
    </row>
    <row r="385">
      <c r="A385" s="2" t="inlineStr">
        <is>
          <t>H</t>
        </is>
      </c>
      <c r="B385" s="2" t="inlineStr">
        <is>
          <t>INTERNAL GLASS PARTITIONS</t>
        </is>
      </c>
      <c r="C385" s="2" t="inlineStr">
        <is>
          <t>B</t>
        </is>
      </c>
      <c r="D385" s="2" t="inlineStr">
        <is>
          <t>Shower Glass Partition, size 1125mm W x 2400mm H including 1No of GL-01, Single Swing Glass Door size 700mm W x 2050mm H - 3bed master bathroom</t>
        </is>
      </c>
      <c r="E385" s="2" t="inlineStr">
        <is>
          <t>No</t>
        </is>
      </c>
      <c r="F385" s="2" t="n">
        <v>2</v>
      </c>
      <c r="G385" s="2" t="n">
        <v>2</v>
      </c>
      <c r="H385" s="2" t="n">
        <v>4</v>
      </c>
      <c r="I385" s="2" t="n">
        <v>4</v>
      </c>
      <c r="J385" s="2" t="n">
        <v>6</v>
      </c>
      <c r="K385" s="2" t="n">
        <v>6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  <c r="Q385" s="2" t="n">
        <v>24</v>
      </c>
      <c r="R385" s="2" t="n">
        <v>326</v>
      </c>
      <c r="S385" s="2" t="n"/>
      <c r="T385" s="2">
        <f>IF(OR(S385="",R385=0),"",ROUND(S385*R385,2))</f>
        <v/>
      </c>
      <c r="U385" s="2" t="inlineStr"/>
    </row>
    <row r="386">
      <c r="A386" s="2" t="inlineStr">
        <is>
          <t>H</t>
        </is>
      </c>
      <c r="B386" s="2" t="inlineStr">
        <is>
          <t>INTERNAL GLASS PARTITIONS</t>
        </is>
      </c>
      <c r="C386" s="2" t="inlineStr">
        <is>
          <t>C</t>
        </is>
      </c>
      <c r="D386" s="2" t="inlineStr">
        <is>
          <t>Shower Glass Partition, size 1125mm W x 2400mm H including 1No of GL-01, Single Swing Glass Door size 700mm W x 2050mm H - 4bed master bathroom</t>
        </is>
      </c>
      <c r="E386" s="2" t="inlineStr">
        <is>
          <t>No</t>
        </is>
      </c>
      <c r="F386" s="2" t="n">
        <v>2</v>
      </c>
      <c r="G386" s="2" t="n">
        <v>2</v>
      </c>
      <c r="H386" s="2" t="n">
        <v>2</v>
      </c>
      <c r="I386" s="2" t="n">
        <v>2</v>
      </c>
      <c r="J386" s="2" t="n">
        <v>2</v>
      </c>
      <c r="K386" s="2" t="n">
        <v>2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12</v>
      </c>
      <c r="R386" s="2" t="n">
        <v>184</v>
      </c>
      <c r="S386" s="2" t="n"/>
      <c r="T386" s="2">
        <f>IF(OR(S386="",R386=0),"",ROUND(S386*R386,2))</f>
        <v/>
      </c>
      <c r="U386" s="2" t="inlineStr"/>
    </row>
    <row r="387">
      <c r="A387" s="2" t="inlineStr">
        <is>
          <t>H</t>
        </is>
      </c>
      <c r="B387" s="2" t="inlineStr">
        <is>
          <t>INTERNAL GLASS PARTITIONS</t>
        </is>
      </c>
      <c r="C387" s="2" t="inlineStr">
        <is>
          <t>C</t>
        </is>
      </c>
      <c r="D387" s="2" t="inlineStr">
        <is>
          <t>Shower Glass Partition, size 1360mm W x 2400mm H including 1No of GL-01, Single Swing Glass Door size 700mm W x 2050mm H - 4bed bathroom 2</t>
        </is>
      </c>
      <c r="E387" s="2" t="inlineStr">
        <is>
          <t>No</t>
        </is>
      </c>
      <c r="F387" s="2" t="n">
        <v>2</v>
      </c>
      <c r="G387" s="2" t="n">
        <v>2</v>
      </c>
      <c r="H387" s="2" t="n">
        <v>2</v>
      </c>
      <c r="I387" s="2" t="n">
        <v>2</v>
      </c>
      <c r="J387" s="2" t="n">
        <v>2</v>
      </c>
      <c r="K387" s="2" t="n">
        <v>2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12</v>
      </c>
      <c r="R387" s="2" t="n">
        <v>184</v>
      </c>
      <c r="S387" s="2" t="n"/>
      <c r="T387" s="2">
        <f>IF(OR(S387="",R387=0),"",ROUND(S387*R387,2))</f>
        <v/>
      </c>
      <c r="U387" s="2" t="inlineStr"/>
    </row>
    <row r="388">
      <c r="A388" s="2" t="inlineStr">
        <is>
          <t>H</t>
        </is>
      </c>
      <c r="B388" s="2" t="inlineStr">
        <is>
          <t>INTERNAL GLASS PARTITIONS</t>
        </is>
      </c>
      <c r="C388" s="2" t="inlineStr">
        <is>
          <t>D</t>
        </is>
      </c>
      <c r="D388" s="2" t="inlineStr">
        <is>
          <t>Shower Glass Partition, size 1450mm W x 2400mm H including 1No of GL-01, Single Swing Glass Door size 700mm W x 2050mm H - 3bed bathroom 01</t>
        </is>
      </c>
      <c r="E388" s="2" t="inlineStr">
        <is>
          <t>No</t>
        </is>
      </c>
      <c r="F388" s="2" t="n">
        <v>2</v>
      </c>
      <c r="G388" s="2" t="n">
        <v>2</v>
      </c>
      <c r="H388" s="2" t="n">
        <v>4</v>
      </c>
      <c r="I388" s="2" t="n">
        <v>4</v>
      </c>
      <c r="J388" s="2" t="n">
        <v>6</v>
      </c>
      <c r="K388" s="2" t="n">
        <v>6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24</v>
      </c>
      <c r="R388" s="2" t="n">
        <v>326</v>
      </c>
      <c r="S388" s="2" t="n"/>
      <c r="T388" s="2">
        <f>IF(OR(S388="",R388=0),"",ROUND(S388*R388,2))</f>
        <v/>
      </c>
      <c r="U388" s="2" t="inlineStr"/>
    </row>
    <row r="389">
      <c r="A389" s="2" t="inlineStr">
        <is>
          <t>H</t>
        </is>
      </c>
      <c r="B389" s="2" t="inlineStr">
        <is>
          <t>INTERNAL GLASS PARTITIONS</t>
        </is>
      </c>
      <c r="C389" s="2" t="inlineStr">
        <is>
          <t>D</t>
        </is>
      </c>
      <c r="D389" s="2" t="inlineStr">
        <is>
          <t>Shower Glass Partition, size 1170mm W x 2400mm H including 1No of GD-01, Single Swing Glass Door size 700mm W x 2050mm H</t>
        </is>
      </c>
      <c r="E389" s="2" t="inlineStr">
        <is>
          <t>No</t>
        </is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1</v>
      </c>
      <c r="M389" s="2" t="n">
        <v>1</v>
      </c>
      <c r="N389" s="2" t="n">
        <v>0</v>
      </c>
      <c r="O389" s="2" t="n">
        <v>0</v>
      </c>
      <c r="P389" s="2" t="n">
        <v>0</v>
      </c>
      <c r="Q389" s="2" t="n">
        <v>2</v>
      </c>
      <c r="R389" s="2" t="n">
        <v>37</v>
      </c>
      <c r="S389" s="2" t="n"/>
      <c r="T389" s="2">
        <f>IF(OR(S389="",R389=0),"",ROUND(S389*R389,2))</f>
        <v/>
      </c>
      <c r="U389" s="2" t="inlineStr"/>
    </row>
    <row r="390">
      <c r="A390" s="2" t="inlineStr">
        <is>
          <t>H</t>
        </is>
      </c>
      <c r="B390" s="2" t="inlineStr">
        <is>
          <t>INTERNAL GLASS PARTITIONS</t>
        </is>
      </c>
      <c r="C390" s="2" t="inlineStr">
        <is>
          <t>D</t>
        </is>
      </c>
      <c r="D390" s="2" t="inlineStr">
        <is>
          <t>Shower Glass Partition, size 1570mm W x 2400mm H including 1No of GD-01, Single Swing Glass Door size 700mm W x 2050mm H</t>
        </is>
      </c>
      <c r="E390" s="2" t="inlineStr">
        <is>
          <t>No</t>
        </is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1</v>
      </c>
      <c r="M390" s="2" t="n">
        <v>1</v>
      </c>
      <c r="N390" s="2" t="n">
        <v>0</v>
      </c>
      <c r="O390" s="2" t="n">
        <v>0</v>
      </c>
      <c r="P390" s="2" t="n">
        <v>0</v>
      </c>
      <c r="Q390" s="2" t="n">
        <v>2</v>
      </c>
      <c r="R390" s="2" t="n">
        <v>37</v>
      </c>
      <c r="S390" s="2" t="n"/>
      <c r="T390" s="2">
        <f>IF(OR(S390="",R390=0),"",ROUND(S390*R390,2))</f>
        <v/>
      </c>
      <c r="U390" s="2" t="inlineStr"/>
    </row>
    <row r="391">
      <c r="A391" s="2" t="inlineStr">
        <is>
          <t>H</t>
        </is>
      </c>
      <c r="B391" s="2" t="inlineStr">
        <is>
          <t>INTERNAL GLASS PARTITIONS</t>
        </is>
      </c>
      <c r="C391" s="2" t="inlineStr">
        <is>
          <t>D</t>
        </is>
      </c>
      <c r="D391" s="2" t="inlineStr">
        <is>
          <t>Shower Glass Partition, size 1770mm W x 2400mm H including 1No of GD-01, Single Swing Glass Door size 700mm W x 2050mm H</t>
        </is>
      </c>
      <c r="E391" s="2" t="inlineStr">
        <is>
          <t>No</t>
        </is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1</v>
      </c>
      <c r="M391" s="2" t="n">
        <v>1</v>
      </c>
      <c r="N391" s="2" t="n">
        <v>0</v>
      </c>
      <c r="O391" s="2" t="n">
        <v>0</v>
      </c>
      <c r="P391" s="2" t="n">
        <v>0</v>
      </c>
      <c r="Q391" s="2" t="n">
        <v>2</v>
      </c>
      <c r="R391" s="2" t="n">
        <v>37</v>
      </c>
      <c r="S391" s="2" t="n"/>
      <c r="T391" s="2">
        <f>IF(OR(S391="",R391=0),"",ROUND(S391*R391,2))</f>
        <v/>
      </c>
      <c r="U391" s="2" t="inlineStr"/>
    </row>
    <row r="392">
      <c r="A392" s="2" t="inlineStr">
        <is>
          <t>H</t>
        </is>
      </c>
      <c r="B392" s="2" t="inlineStr">
        <is>
          <t>INTERNAL GLASS PARTITIONS</t>
        </is>
      </c>
      <c r="C392" s="2" t="inlineStr">
        <is>
          <t>D</t>
        </is>
      </c>
      <c r="D392" s="2" t="inlineStr">
        <is>
          <t>Shower Glass Partition, size 1870mm W x 2400mm H including 1No of GD-01, Single Swing Glass Door size 700mm W x 2050mm H</t>
        </is>
      </c>
      <c r="E392" s="2" t="inlineStr">
        <is>
          <t>No</t>
        </is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1</v>
      </c>
      <c r="M392" s="2" t="n">
        <v>1</v>
      </c>
      <c r="N392" s="2" t="n">
        <v>0</v>
      </c>
      <c r="O392" s="2" t="n">
        <v>0</v>
      </c>
      <c r="P392" s="2" t="n">
        <v>0</v>
      </c>
      <c r="Q392" s="2" t="n">
        <v>2</v>
      </c>
      <c r="R392" s="2" t="n">
        <v>37</v>
      </c>
      <c r="S392" s="2" t="n"/>
      <c r="T392" s="2">
        <f>IF(OR(S392="",R392=0),"",ROUND(S392*R392,2))</f>
        <v/>
      </c>
      <c r="U392" s="2" t="inlineStr"/>
    </row>
    <row r="393">
      <c r="A393" s="2" t="inlineStr">
        <is>
          <t>H</t>
        </is>
      </c>
      <c r="B393" s="2" t="inlineStr">
        <is>
          <t>INTERNAL GLASS PARTITIONS</t>
        </is>
      </c>
      <c r="C393" s="2" t="inlineStr">
        <is>
          <t>D</t>
        </is>
      </c>
      <c r="D393" s="2" t="inlineStr">
        <is>
          <t>Shower Glass Partition, size 920mm W x 2400mm H including 1No of GD-01, Single Swing Glass Door size 700mm W x 2050mm H</t>
        </is>
      </c>
      <c r="E393" s="2" t="inlineStr">
        <is>
          <t>No</t>
        </is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1</v>
      </c>
      <c r="M393" s="2" t="n">
        <v>1</v>
      </c>
      <c r="N393" s="2" t="n">
        <v>0</v>
      </c>
      <c r="O393" s="2" t="n">
        <v>0</v>
      </c>
      <c r="P393" s="2" t="n">
        <v>0</v>
      </c>
      <c r="Q393" s="2" t="n">
        <v>2</v>
      </c>
      <c r="R393" s="2" t="n">
        <v>37</v>
      </c>
      <c r="S393" s="2" t="n"/>
      <c r="T393" s="2">
        <f>IF(OR(S393="",R393=0),"",ROUND(S393*R393,2))</f>
        <v/>
      </c>
      <c r="U393" s="2" t="inlineStr"/>
    </row>
    <row r="394">
      <c r="A394" s="2" t="inlineStr">
        <is>
          <t>J</t>
        </is>
      </c>
      <c r="B394" s="2" t="inlineStr">
        <is>
          <t>BACKGROUNDS</t>
        </is>
      </c>
      <c r="C394" s="2" t="inlineStr">
        <is>
          <t>A</t>
        </is>
      </c>
      <c r="D394" s="2" t="inlineStr">
        <is>
          <t>To receive floor finishes</t>
        </is>
      </c>
      <c r="E394" s="2" t="inlineStr">
        <is>
          <t>m²</t>
        </is>
      </c>
      <c r="F394" s="2" t="n">
        <v>515</v>
      </c>
      <c r="G394" s="2" t="n">
        <v>515</v>
      </c>
      <c r="H394" s="2" t="n">
        <v>741</v>
      </c>
      <c r="I394" s="2" t="n">
        <v>741</v>
      </c>
      <c r="J394" s="2" t="n">
        <v>966</v>
      </c>
      <c r="K394" s="2" t="n">
        <v>966</v>
      </c>
      <c r="L394" s="2" t="n">
        <v>269</v>
      </c>
      <c r="M394" s="2" t="n">
        <v>269</v>
      </c>
      <c r="N394" s="2" t="n">
        <v>480</v>
      </c>
      <c r="O394" s="2" t="n">
        <v>10</v>
      </c>
      <c r="P394" s="2" t="n">
        <v>0</v>
      </c>
      <c r="Q394" s="2" t="n">
        <v>5472</v>
      </c>
      <c r="R394" s="2" t="n">
        <v>73853</v>
      </c>
      <c r="S394" s="2" t="n"/>
      <c r="T394" s="2">
        <f>IF(OR(S394="",R394=0),"",ROUND(S394*R394,2))</f>
        <v/>
      </c>
      <c r="U394" s="2" t="inlineStr"/>
    </row>
    <row r="395">
      <c r="A395" s="2" t="inlineStr">
        <is>
          <t>J</t>
        </is>
      </c>
      <c r="B395" s="2" t="inlineStr">
        <is>
          <t>BACKGROUNDS</t>
        </is>
      </c>
      <c r="C395" s="2" t="inlineStr">
        <is>
          <t>A</t>
        </is>
      </c>
      <c r="D395" s="2" t="inlineStr">
        <is>
          <t>To receive paint</t>
        </is>
      </c>
      <c r="E395" s="2" t="inlineStr">
        <is>
          <t>m²</t>
        </is>
      </c>
      <c r="F395" s="2" t="n">
        <v>1097</v>
      </c>
      <c r="G395" s="2" t="n">
        <v>1009</v>
      </c>
      <c r="H395" s="2" t="n">
        <v>1281</v>
      </c>
      <c r="I395" s="2" t="n">
        <v>1405</v>
      </c>
      <c r="J395" s="2" t="n">
        <v>1893</v>
      </c>
      <c r="K395" s="2" t="n">
        <v>1799</v>
      </c>
      <c r="L395" s="2" t="n">
        <v>612</v>
      </c>
      <c r="M395" s="2" t="n">
        <v>614</v>
      </c>
      <c r="N395" s="2" t="n">
        <v>519</v>
      </c>
      <c r="O395" s="2" t="n">
        <v>74</v>
      </c>
      <c r="P395" s="2" t="n">
        <v>0</v>
      </c>
      <c r="Q395" s="2" t="n">
        <v>10303</v>
      </c>
      <c r="R395" s="2" t="n">
        <v>144897</v>
      </c>
      <c r="S395" s="2" t="n"/>
      <c r="T395" s="2">
        <f>IF(OR(S395="",R395=0),"",ROUND(S395*R395,2))</f>
        <v/>
      </c>
      <c r="U395" s="2" t="inlineStr"/>
    </row>
    <row r="396">
      <c r="A396" s="2" t="inlineStr">
        <is>
          <t>J</t>
        </is>
      </c>
      <c r="B396" s="2" t="inlineStr">
        <is>
          <t>BACKGROUNDS</t>
        </is>
      </c>
      <c r="C396" s="2" t="inlineStr">
        <is>
          <t>B</t>
        </is>
      </c>
      <c r="D396" s="2" t="inlineStr">
        <is>
          <t>To receive wall paint finish</t>
        </is>
      </c>
      <c r="E396" s="2" t="inlineStr">
        <is>
          <t>m²</t>
        </is>
      </c>
      <c r="F396" s="2" t="n">
        <v>1633</v>
      </c>
      <c r="G396" s="2" t="n">
        <v>1633</v>
      </c>
      <c r="H396" s="2" t="n">
        <v>2372</v>
      </c>
      <c r="I396" s="2" t="n">
        <v>2372</v>
      </c>
      <c r="J396" s="2" t="n">
        <v>3109</v>
      </c>
      <c r="K396" s="2" t="n">
        <v>3109</v>
      </c>
      <c r="L396" s="2" t="n">
        <v>808</v>
      </c>
      <c r="M396" s="2" t="n">
        <v>808</v>
      </c>
      <c r="N396" s="2" t="n">
        <v>528</v>
      </c>
      <c r="O396" s="2" t="n">
        <v>29</v>
      </c>
      <c r="P396" s="2" t="n">
        <v>0</v>
      </c>
      <c r="Q396" s="2" t="n">
        <v>16401</v>
      </c>
      <c r="R396" s="2" t="n">
        <v>233126</v>
      </c>
      <c r="S396" s="2" t="n"/>
      <c r="T396" s="2">
        <f>IF(OR(S396="",R396=0),"",ROUND(S396*R396,2))</f>
        <v/>
      </c>
      <c r="U396" s="2" t="inlineStr"/>
    </row>
    <row r="397">
      <c r="A397" s="2" t="inlineStr">
        <is>
          <t>J</t>
        </is>
      </c>
      <c r="B397" s="2" t="inlineStr">
        <is>
          <t>BACKGROUNDS</t>
        </is>
      </c>
      <c r="C397" s="2" t="inlineStr">
        <is>
          <t>B</t>
        </is>
      </c>
      <c r="D397" s="2" t="inlineStr">
        <is>
          <t>To receive porcelain wall cladding</t>
        </is>
      </c>
      <c r="E397" s="2" t="inlineStr">
        <is>
          <t>m²</t>
        </is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68</v>
      </c>
      <c r="M397" s="2" t="n">
        <v>97</v>
      </c>
      <c r="N397" s="2" t="n">
        <v>301</v>
      </c>
      <c r="O397" s="2" t="n">
        <v>12</v>
      </c>
      <c r="P397" s="2" t="n">
        <v>0</v>
      </c>
      <c r="Q397" s="2" t="n">
        <v>478</v>
      </c>
      <c r="R397" s="2" t="n">
        <v>3380</v>
      </c>
      <c r="S397" s="2" t="n"/>
      <c r="T397" s="2">
        <f>IF(OR(S397="",R397=0),"",ROUND(S397*R397,2))</f>
        <v/>
      </c>
      <c r="U397" s="2" t="inlineStr"/>
    </row>
    <row r="398">
      <c r="A398" s="2" t="inlineStr">
        <is>
          <t>J</t>
        </is>
      </c>
      <c r="B398" s="2" t="inlineStr">
        <is>
          <t>BACKGROUNDS</t>
        </is>
      </c>
      <c r="C398" s="2" t="inlineStr">
        <is>
          <t>C</t>
        </is>
      </c>
      <c r="D398" s="2" t="inlineStr">
        <is>
          <t>Levelling screed; 40mm thick; to Upper Balconies</t>
        </is>
      </c>
      <c r="E398" s="2" t="inlineStr">
        <is>
          <t>m²</t>
        </is>
      </c>
      <c r="F398" s="2" t="n">
        <v>22</v>
      </c>
      <c r="G398" s="2" t="n">
        <v>26</v>
      </c>
      <c r="H398" s="2" t="n">
        <v>36</v>
      </c>
      <c r="I398" s="2" t="n">
        <v>43</v>
      </c>
      <c r="J398" s="2" t="n">
        <v>49</v>
      </c>
      <c r="K398" s="2" t="n">
        <v>59</v>
      </c>
      <c r="L398" s="2" t="n">
        <v>0</v>
      </c>
      <c r="M398" s="2" t="n">
        <v>0</v>
      </c>
      <c r="N398" s="2" t="n">
        <v>0</v>
      </c>
      <c r="O398" s="2" t="n">
        <v>3</v>
      </c>
      <c r="P398" s="2" t="n">
        <v>0</v>
      </c>
      <c r="Q398" s="2" t="n">
        <v>238</v>
      </c>
      <c r="R398" s="2" t="n">
        <v>3300</v>
      </c>
      <c r="S398" s="2" t="n"/>
      <c r="T398" s="2">
        <f>IF(OR(S398="",R398=0),"",ROUND(S398*R398,2))</f>
        <v/>
      </c>
      <c r="U398" s="2" t="inlineStr"/>
    </row>
    <row r="399">
      <c r="A399" s="2" t="inlineStr">
        <is>
          <t>J</t>
        </is>
      </c>
      <c r="B399" s="2" t="inlineStr">
        <is>
          <t>BACKGROUNDS</t>
        </is>
      </c>
      <c r="C399" s="2" t="inlineStr">
        <is>
          <t>D</t>
        </is>
      </c>
      <c r="D399" s="2" t="inlineStr">
        <is>
          <t>To receive wall wood laminate finish</t>
        </is>
      </c>
      <c r="E399" s="2" t="inlineStr">
        <is>
          <t>m²</t>
        </is>
      </c>
      <c r="F399" s="2" t="n">
        <v>7</v>
      </c>
      <c r="G399" s="2" t="n">
        <v>7</v>
      </c>
      <c r="H399" s="2" t="n">
        <v>7</v>
      </c>
      <c r="I399" s="2" t="n">
        <v>7</v>
      </c>
      <c r="J399" s="2" t="n">
        <v>7</v>
      </c>
      <c r="K399" s="2" t="n">
        <v>7</v>
      </c>
      <c r="L399" s="2" t="n">
        <v>0</v>
      </c>
      <c r="M399" s="2" t="n">
        <v>0</v>
      </c>
      <c r="N399" s="2" t="n">
        <v>154</v>
      </c>
      <c r="O399" s="2" t="n">
        <v>0</v>
      </c>
      <c r="P399" s="2" t="n">
        <v>0</v>
      </c>
      <c r="Q399" s="2" t="n">
        <v>196</v>
      </c>
      <c r="R399" s="2" t="n">
        <v>798</v>
      </c>
      <c r="S399" s="2" t="n"/>
      <c r="T399" s="2">
        <f>IF(OR(S399="",R399=0),"",ROUND(S399*R399,2))</f>
        <v/>
      </c>
      <c r="U399" s="2" t="inlineStr"/>
    </row>
    <row r="400">
      <c r="A400" s="2" t="inlineStr">
        <is>
          <t>J</t>
        </is>
      </c>
      <c r="B400" s="2" t="inlineStr">
        <is>
          <t>BACKGROUNDS</t>
        </is>
      </c>
      <c r="C400" s="2" t="inlineStr">
        <is>
          <t>D</t>
        </is>
      </c>
      <c r="D400" s="2" t="inlineStr">
        <is>
          <t>Levelling screed; 40mm thick; to Ground Floor Terrace</t>
        </is>
      </c>
      <c r="E400" s="2" t="inlineStr">
        <is>
          <t>m²</t>
        </is>
      </c>
      <c r="F400" s="2" t="n">
        <v>44</v>
      </c>
      <c r="G400" s="2" t="n">
        <v>44</v>
      </c>
      <c r="H400" s="2" t="n">
        <v>62</v>
      </c>
      <c r="I400" s="2" t="n">
        <v>62</v>
      </c>
      <c r="J400" s="2" t="n">
        <v>62</v>
      </c>
      <c r="K400" s="2" t="n">
        <v>62</v>
      </c>
      <c r="L400" s="2" t="n">
        <v>0</v>
      </c>
      <c r="M400" s="2" t="n">
        <v>0</v>
      </c>
      <c r="N400" s="2" t="n">
        <v>0</v>
      </c>
      <c r="O400" s="2" t="n">
        <v>3</v>
      </c>
      <c r="P400" s="2" t="n">
        <v>0</v>
      </c>
      <c r="Q400" s="2" t="n">
        <v>339</v>
      </c>
      <c r="R400" s="2" t="n">
        <v>5041</v>
      </c>
      <c r="S400" s="2" t="n"/>
      <c r="T400" s="2">
        <f>IF(OR(S400="",R400=0),"",ROUND(S400*R400,2))</f>
        <v/>
      </c>
      <c r="U400" s="2" t="inlineStr"/>
    </row>
    <row r="401">
      <c r="A401" s="2" t="inlineStr">
        <is>
          <t>J</t>
        </is>
      </c>
      <c r="B401" s="2" t="inlineStr">
        <is>
          <t>BACKGROUNDS</t>
        </is>
      </c>
      <c r="C401" s="2" t="inlineStr">
        <is>
          <t>E</t>
        </is>
      </c>
      <c r="D401" s="2" t="inlineStr">
        <is>
          <t>To receive wall mirror finish</t>
        </is>
      </c>
      <c r="E401" s="2" t="inlineStr">
        <is>
          <t>m²</t>
        </is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42</v>
      </c>
      <c r="O401" s="2" t="n">
        <v>0</v>
      </c>
      <c r="P401" s="2" t="n">
        <v>0</v>
      </c>
      <c r="Q401" s="2" t="n">
        <v>42</v>
      </c>
      <c r="R401" s="2" t="n">
        <v>42</v>
      </c>
      <c r="S401" s="2" t="n"/>
      <c r="T401" s="2">
        <f>IF(OR(S401="",R401=0),"",ROUND(S401*R401,2))</f>
        <v/>
      </c>
      <c r="U401" s="2" t="inlineStr"/>
    </row>
    <row r="402">
      <c r="A402" s="2" t="inlineStr">
        <is>
          <t>J</t>
        </is>
      </c>
      <c r="B402" s="2" t="inlineStr">
        <is>
          <t>BACKGROUNDS</t>
        </is>
      </c>
      <c r="C402" s="2" t="inlineStr">
        <is>
          <t>E</t>
        </is>
      </c>
      <c r="D402" s="2" t="inlineStr">
        <is>
          <t>10-20mm thick screed laid to slope, to carport roof, garage roof</t>
        </is>
      </c>
      <c r="E402" s="2" t="inlineStr">
        <is>
          <t>m²</t>
        </is>
      </c>
      <c r="F402" s="2" t="n">
        <v>131</v>
      </c>
      <c r="G402" s="2" t="n">
        <v>129</v>
      </c>
      <c r="H402" s="2" t="n">
        <v>182</v>
      </c>
      <c r="I402" s="2" t="n">
        <v>176</v>
      </c>
      <c r="J402" s="2" t="n">
        <v>246</v>
      </c>
      <c r="K402" s="2" t="n">
        <v>235</v>
      </c>
      <c r="L402" s="2" t="n">
        <v>47</v>
      </c>
      <c r="M402" s="2" t="n">
        <v>47</v>
      </c>
      <c r="N402" s="2" t="n">
        <v>0</v>
      </c>
      <c r="O402" s="2" t="n">
        <v>0</v>
      </c>
      <c r="P402" s="2" t="n">
        <v>0</v>
      </c>
      <c r="Q402" s="2" t="n">
        <v>1193</v>
      </c>
      <c r="R402" s="2" t="n">
        <v>17373</v>
      </c>
      <c r="S402" s="2" t="n"/>
      <c r="T402" s="2">
        <f>IF(OR(S402="",R402=0),"",ROUND(S402*R402,2))</f>
        <v/>
      </c>
      <c r="U402" s="2" t="inlineStr"/>
    </row>
    <row r="403">
      <c r="A403" s="2" t="inlineStr">
        <is>
          <t>J</t>
        </is>
      </c>
      <c r="B403" s="2" t="inlineStr">
        <is>
          <t>BACKGROUNDS</t>
        </is>
      </c>
      <c r="C403" s="2" t="inlineStr">
        <is>
          <t>F</t>
        </is>
      </c>
      <c r="D403" s="2" t="inlineStr">
        <is>
          <t>To receive wall epoxy paint finish</t>
        </is>
      </c>
      <c r="E403" s="2" t="inlineStr">
        <is>
          <t>m²</t>
        </is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193</v>
      </c>
      <c r="O403" s="2" t="n">
        <v>0</v>
      </c>
      <c r="P403" s="2" t="n">
        <v>0</v>
      </c>
      <c r="Q403" s="2" t="n">
        <v>193</v>
      </c>
      <c r="R403" s="2" t="n">
        <v>193</v>
      </c>
      <c r="S403" s="2" t="n"/>
      <c r="T403" s="2">
        <f>IF(OR(S403="",R403=0),"",ROUND(S403*R403,2))</f>
        <v/>
      </c>
      <c r="U403" s="2" t="inlineStr"/>
    </row>
    <row r="404">
      <c r="A404" s="2" t="inlineStr">
        <is>
          <t>J</t>
        </is>
      </c>
      <c r="B404" s="2" t="inlineStr">
        <is>
          <t>BACKGROUNDS</t>
        </is>
      </c>
      <c r="C404" s="2" t="inlineStr">
        <is>
          <t>F</t>
        </is>
      </c>
      <c r="D404" s="2" t="inlineStr">
        <is>
          <t>30mm thick screed to main patio</t>
        </is>
      </c>
      <c r="E404" s="2" t="inlineStr">
        <is>
          <t>m²</t>
        </is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4</v>
      </c>
      <c r="M404" s="2" t="n">
        <v>4</v>
      </c>
      <c r="N404" s="2" t="n">
        <v>0</v>
      </c>
      <c r="O404" s="2" t="n">
        <v>0</v>
      </c>
      <c r="P404" s="2" t="n">
        <v>0</v>
      </c>
      <c r="Q404" s="2" t="n">
        <v>8</v>
      </c>
      <c r="R404" s="2" t="n">
        <v>148</v>
      </c>
      <c r="S404" s="2" t="n"/>
      <c r="T404" s="2">
        <f>IF(OR(S404="",R404=0),"",ROUND(S404*R404,2))</f>
        <v/>
      </c>
      <c r="U404" s="2" t="inlineStr"/>
    </row>
    <row r="405">
      <c r="A405" s="2" t="inlineStr">
        <is>
          <t>J</t>
        </is>
      </c>
      <c r="B405" s="2" t="inlineStr">
        <is>
          <t>BACKGROUNDS</t>
        </is>
      </c>
      <c r="C405" s="2" t="inlineStr">
        <is>
          <t>G</t>
        </is>
      </c>
      <c r="D405" s="2" t="inlineStr">
        <is>
          <t>To Lift shaft</t>
        </is>
      </c>
      <c r="E405" s="2" t="inlineStr">
        <is>
          <t>m²</t>
        </is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68</v>
      </c>
      <c r="M405" s="2" t="n">
        <v>68</v>
      </c>
      <c r="N405" s="2" t="n">
        <v>0</v>
      </c>
      <c r="O405" s="2" t="n">
        <v>0</v>
      </c>
      <c r="P405" s="2" t="n">
        <v>0</v>
      </c>
      <c r="Q405" s="2" t="n">
        <v>136</v>
      </c>
      <c r="R405" s="2" t="n">
        <v>2516</v>
      </c>
      <c r="S405" s="2" t="n"/>
      <c r="T405" s="2">
        <f>IF(OR(S405="",R405=0),"",ROUND(S405*R405,2))</f>
        <v/>
      </c>
      <c r="U405" s="2" t="inlineStr"/>
    </row>
    <row r="406">
      <c r="A406" s="2" t="inlineStr">
        <is>
          <t>J</t>
        </is>
      </c>
      <c r="B406" s="2" t="inlineStr">
        <is>
          <t>BACKGROUNDS</t>
        </is>
      </c>
      <c r="C406" s="2" t="inlineStr">
        <is>
          <t>G</t>
        </is>
      </c>
      <c r="D406" s="2" t="inlineStr">
        <is>
          <t>Screed laid to slope, 100mm thick  to Ground, First and Second Floor Terraces</t>
        </is>
      </c>
      <c r="E406" s="2" t="inlineStr">
        <is>
          <t>m²</t>
        </is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65</v>
      </c>
      <c r="M406" s="2" t="n">
        <v>69</v>
      </c>
      <c r="N406" s="2" t="n">
        <v>0</v>
      </c>
      <c r="O406" s="2" t="n">
        <v>0</v>
      </c>
      <c r="P406" s="2" t="n">
        <v>0</v>
      </c>
      <c r="Q406" s="2" t="n">
        <v>134</v>
      </c>
      <c r="R406" s="2" t="n">
        <v>2481</v>
      </c>
      <c r="S406" s="2" t="n"/>
      <c r="T406" s="2">
        <f>IF(OR(S406="",R406=0),"",ROUND(S406*R406,2))</f>
        <v/>
      </c>
      <c r="U406" s="2" t="inlineStr"/>
    </row>
    <row r="407">
      <c r="A407" s="2" t="inlineStr">
        <is>
          <t>J</t>
        </is>
      </c>
      <c r="B407" s="2" t="inlineStr">
        <is>
          <t>BACKGROUNDS</t>
        </is>
      </c>
      <c r="C407" s="2" t="inlineStr">
        <is>
          <t>H</t>
        </is>
      </c>
      <c r="D407" s="2" t="inlineStr">
        <is>
          <t>Sprayed plaster, To receive paint finish</t>
        </is>
      </c>
      <c r="E407" s="2" t="inlineStr">
        <is>
          <t>m²</t>
        </is>
      </c>
      <c r="F407" s="2" t="n">
        <v>254</v>
      </c>
      <c r="G407" s="2" t="n">
        <v>254</v>
      </c>
      <c r="H407" s="2" t="n">
        <v>378</v>
      </c>
      <c r="I407" s="2" t="n">
        <v>378</v>
      </c>
      <c r="J407" s="2" t="n">
        <v>503</v>
      </c>
      <c r="K407" s="2" t="n">
        <v>503</v>
      </c>
      <c r="L407" s="2" t="n">
        <v>99</v>
      </c>
      <c r="M407" s="2" t="n">
        <v>99</v>
      </c>
      <c r="N407" s="2" t="n">
        <v>0</v>
      </c>
      <c r="O407" s="2" t="n">
        <v>0</v>
      </c>
      <c r="P407" s="2" t="n">
        <v>0</v>
      </c>
      <c r="Q407" s="2" t="n">
        <v>2468</v>
      </c>
      <c r="R407" s="2" t="n">
        <v>35851</v>
      </c>
      <c r="S407" s="2" t="n"/>
      <c r="T407" s="2">
        <f>IF(OR(S407="",R407=0),"",ROUND(S407*R407,2))</f>
        <v/>
      </c>
      <c r="U407" s="2" t="inlineStr"/>
    </row>
    <row r="408">
      <c r="A408" s="2" t="inlineStr">
        <is>
          <t>J</t>
        </is>
      </c>
      <c r="B408" s="2" t="inlineStr">
        <is>
          <t>BACKGROUNDS</t>
        </is>
      </c>
      <c r="C408" s="2" t="inlineStr">
        <is>
          <t>H</t>
        </is>
      </c>
      <c r="D408" s="2" t="inlineStr">
        <is>
          <t>Fiber reinforced protection concrete screed laid to slope with minimum thick of 50mm  to Accessible MEP Area at Second Floor</t>
        </is>
      </c>
      <c r="E408" s="2" t="inlineStr">
        <is>
          <t>m²</t>
        </is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43</v>
      </c>
      <c r="M408" s="2" t="n">
        <v>44</v>
      </c>
      <c r="N408" s="2" t="n">
        <v>0</v>
      </c>
      <c r="O408" s="2" t="n">
        <v>0</v>
      </c>
      <c r="P408" s="2" t="n">
        <v>0</v>
      </c>
      <c r="Q408" s="2" t="n">
        <v>87</v>
      </c>
      <c r="R408" s="2" t="n">
        <v>1610</v>
      </c>
      <c r="S408" s="2" t="n"/>
      <c r="T408" s="2">
        <f>IF(OR(S408="",R408=0),"",ROUND(S408*R408,2))</f>
        <v/>
      </c>
      <c r="U408" s="2" t="inlineStr"/>
    </row>
    <row r="409">
      <c r="A409" s="2" t="inlineStr">
        <is>
          <t>J</t>
        </is>
      </c>
      <c r="B409" s="2" t="inlineStr">
        <is>
          <t>BACKGROUNDS</t>
        </is>
      </c>
      <c r="C409" s="2" t="inlineStr">
        <is>
          <t>J</t>
        </is>
      </c>
      <c r="D409" s="2" t="inlineStr">
        <is>
          <t>Plaster, To receive paint finish</t>
        </is>
      </c>
      <c r="E409" s="2" t="inlineStr">
        <is>
          <t>m²</t>
        </is>
      </c>
      <c r="F409" s="2" t="n">
        <v>10</v>
      </c>
      <c r="G409" s="2" t="n">
        <v>10</v>
      </c>
      <c r="H409" s="2" t="n">
        <v>14</v>
      </c>
      <c r="I409" s="2" t="n">
        <v>14</v>
      </c>
      <c r="J409" s="2" t="n">
        <v>17</v>
      </c>
      <c r="K409" s="2" t="n">
        <v>17</v>
      </c>
      <c r="L409" s="2" t="n">
        <v>4</v>
      </c>
      <c r="M409" s="2" t="n">
        <v>4</v>
      </c>
      <c r="N409" s="2" t="n">
        <v>47</v>
      </c>
      <c r="O409" s="2" t="n">
        <v>7</v>
      </c>
      <c r="P409" s="2" t="n">
        <v>0</v>
      </c>
      <c r="Q409" s="2" t="n">
        <v>144</v>
      </c>
      <c r="R409" s="2" t="n">
        <v>1390</v>
      </c>
      <c r="S409" s="2" t="n"/>
      <c r="T409" s="2">
        <f>IF(OR(S409="",R409=0),"",ROUND(S409*R409,2))</f>
        <v/>
      </c>
      <c r="U409" s="2" t="inlineStr"/>
    </row>
    <row r="410">
      <c r="A410" s="2" t="inlineStr">
        <is>
          <t>J</t>
        </is>
      </c>
      <c r="B410" s="2" t="inlineStr">
        <is>
          <t>BACKGROUNDS</t>
        </is>
      </c>
      <c r="C410" s="2" t="inlineStr">
        <is>
          <t>J</t>
        </is>
      </c>
      <c r="D410" s="2" t="inlineStr">
        <is>
          <t>Cement plaster to soffit</t>
        </is>
      </c>
      <c r="E410" s="2" t="inlineStr">
        <is>
          <t>m²</t>
        </is>
      </c>
      <c r="F410" s="2" t="n">
        <v>205</v>
      </c>
      <c r="G410" s="2" t="n">
        <v>140</v>
      </c>
      <c r="H410" s="2" t="n">
        <v>299</v>
      </c>
      <c r="I410" s="2" t="n">
        <v>206</v>
      </c>
      <c r="J410" s="2" t="n">
        <v>350</v>
      </c>
      <c r="K410" s="2" t="n">
        <v>276</v>
      </c>
      <c r="L410" s="2" t="n">
        <v>14</v>
      </c>
      <c r="M410" s="2" t="n">
        <v>12</v>
      </c>
      <c r="N410" s="2" t="n">
        <v>0</v>
      </c>
      <c r="O410" s="2" t="n">
        <v>0</v>
      </c>
      <c r="P410" s="2" t="n">
        <v>0</v>
      </c>
      <c r="Q410" s="2" t="n">
        <v>1502</v>
      </c>
      <c r="R410" s="2" t="n">
        <v>21629</v>
      </c>
      <c r="S410" s="2" t="n"/>
      <c r="T410" s="2">
        <f>IF(OR(S410="",R410=0),"",ROUND(S410*R410,2))</f>
        <v/>
      </c>
      <c r="U410" s="2" t="inlineStr"/>
    </row>
    <row r="411">
      <c r="A411" s="2" t="inlineStr">
        <is>
          <t>J</t>
        </is>
      </c>
      <c r="B411" s="2" t="inlineStr">
        <is>
          <t>BACKGROUNDS</t>
        </is>
      </c>
      <c r="C411" s="2" t="inlineStr">
        <is>
          <t>K</t>
        </is>
      </c>
      <c r="D411" s="2" t="inlineStr">
        <is>
          <t>Plaster, To receive epoxy paint finish</t>
        </is>
      </c>
      <c r="E411" s="2" t="inlineStr">
        <is>
          <t>m²</t>
        </is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133</v>
      </c>
      <c r="O411" s="2" t="n">
        <v>0</v>
      </c>
      <c r="P411" s="2" t="n">
        <v>0</v>
      </c>
      <c r="Q411" s="2" t="n">
        <v>133</v>
      </c>
      <c r="R411" s="2" t="n">
        <v>133</v>
      </c>
      <c r="S411" s="2" t="n"/>
      <c r="T411" s="2">
        <f>IF(OR(S411="",R411=0),"",ROUND(S411*R411,2))</f>
        <v/>
      </c>
      <c r="U411" s="2" t="inlineStr"/>
    </row>
    <row r="412">
      <c r="A412" s="2" t="inlineStr">
        <is>
          <t>J</t>
        </is>
      </c>
      <c r="B412" s="2" t="inlineStr">
        <is>
          <t>BACKGROUNDS</t>
        </is>
      </c>
      <c r="C412" s="2" t="inlineStr">
        <is>
          <t>K</t>
        </is>
      </c>
      <c r="D412" s="2" t="inlineStr">
        <is>
          <t>Canopy finish shall be in gray paint color to match the aluminum RAL 7013. (paint measured separately)</t>
        </is>
      </c>
      <c r="E412" s="2" t="inlineStr">
        <is>
          <t>m²</t>
        </is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158</v>
      </c>
      <c r="O412" s="2" t="n">
        <v>0</v>
      </c>
      <c r="P412" s="2" t="n">
        <v>0</v>
      </c>
      <c r="Q412" s="2" t="n">
        <v>158</v>
      </c>
      <c r="R412" s="2" t="n">
        <v>158</v>
      </c>
      <c r="S412" s="2" t="n"/>
      <c r="T412" s="2">
        <f>IF(OR(S412="",R412=0),"",ROUND(S412*R412,2))</f>
        <v/>
      </c>
      <c r="U412" s="2" t="inlineStr"/>
    </row>
    <row r="413">
      <c r="A413" s="2" t="inlineStr">
        <is>
          <t>J</t>
        </is>
      </c>
      <c r="B413" s="2" t="inlineStr">
        <is>
          <t>FINISHINGS</t>
        </is>
      </c>
      <c r="C413" s="2" t="inlineStr">
        <is>
          <t>*B</t>
        </is>
      </c>
      <c r="D413" s="2" t="inlineStr">
        <is>
          <t>Concrete Pavers, size 400x150x60mm, To 3BR Garbage Room</t>
        </is>
      </c>
      <c r="E413" s="2" t="inlineStr">
        <is>
          <t>m²</t>
        </is>
      </c>
      <c r="F413" s="2" t="n">
        <v>3</v>
      </c>
      <c r="G413" s="2" t="n">
        <v>3</v>
      </c>
      <c r="H413" s="2" t="n">
        <v>6</v>
      </c>
      <c r="I413" s="2" t="n">
        <v>6</v>
      </c>
      <c r="J413" s="2" t="n">
        <v>10</v>
      </c>
      <c r="K413" s="2" t="n">
        <v>10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38</v>
      </c>
      <c r="R413" s="2" t="n">
        <v>505</v>
      </c>
      <c r="S413" s="2" t="n"/>
      <c r="T413" s="2">
        <f>IF(OR(S413="",R413=0),"",ROUND(S413*R413,2))</f>
        <v/>
      </c>
      <c r="U413" s="2" t="inlineStr"/>
    </row>
    <row r="414">
      <c r="A414" s="2" t="inlineStr">
        <is>
          <t>J</t>
        </is>
      </c>
      <c r="B414" s="2" t="inlineStr">
        <is>
          <t>FINISHINGS</t>
        </is>
      </c>
      <c r="C414" s="2" t="inlineStr">
        <is>
          <t>*M1</t>
        </is>
      </c>
      <c r="D414" s="2" t="inlineStr">
        <is>
          <t>Penetrating sealer  to internal shafts more than 600x600mm</t>
        </is>
      </c>
      <c r="E414" s="2" t="inlineStr">
        <is>
          <t>m²</t>
        </is>
      </c>
      <c r="F414" s="2" t="n">
        <v>68</v>
      </c>
      <c r="G414" s="2" t="n">
        <v>68</v>
      </c>
      <c r="H414" s="2" t="n">
        <v>132</v>
      </c>
      <c r="I414" s="2" t="n">
        <v>132</v>
      </c>
      <c r="J414" s="2" t="n">
        <v>196</v>
      </c>
      <c r="K414" s="2" t="n">
        <v>196</v>
      </c>
      <c r="L414" s="2" t="n">
        <v>0</v>
      </c>
      <c r="M414" s="2" t="n">
        <v>0</v>
      </c>
      <c r="N414" s="2" t="n">
        <v>42</v>
      </c>
      <c r="O414" s="2" t="n">
        <v>0</v>
      </c>
      <c r="P414" s="2" t="n">
        <v>0</v>
      </c>
      <c r="Q414" s="2" t="n">
        <v>834</v>
      </c>
      <c r="R414" s="2" t="n">
        <v>10842</v>
      </c>
      <c r="S414" s="2" t="n"/>
      <c r="T414" s="2">
        <f>IF(OR(S414="",R414=0),"",ROUND(S414*R414,2))</f>
        <v/>
      </c>
      <c r="U414" s="2" t="inlineStr"/>
    </row>
    <row r="415">
      <c r="A415" s="2" t="inlineStr">
        <is>
          <t>J</t>
        </is>
      </c>
      <c r="B415" s="2" t="inlineStr">
        <is>
          <t>FINISHINGS</t>
        </is>
      </c>
      <c r="C415" s="2" t="inlineStr">
        <is>
          <t>A</t>
        </is>
      </c>
      <c r="D415" s="2" t="inlineStr">
        <is>
          <t>Two component solvent free pigmented high build epoxy floor coating system with a built up thickness of 1 mm, To Pump Room / MDB Room</t>
        </is>
      </c>
      <c r="E415" s="2" t="inlineStr">
        <is>
          <t>m²</t>
        </is>
      </c>
      <c r="F415" s="2" t="n">
        <v>9</v>
      </c>
      <c r="G415" s="2" t="n">
        <v>9</v>
      </c>
      <c r="H415" s="2" t="n">
        <v>10</v>
      </c>
      <c r="I415" s="2" t="n">
        <v>10</v>
      </c>
      <c r="J415" s="2" t="n">
        <v>12</v>
      </c>
      <c r="K415" s="2" t="n">
        <v>12</v>
      </c>
      <c r="L415" s="2" t="n">
        <v>4</v>
      </c>
      <c r="M415" s="2" t="n">
        <v>4</v>
      </c>
      <c r="N415" s="2" t="n">
        <v>0</v>
      </c>
      <c r="O415" s="2" t="n">
        <v>0</v>
      </c>
      <c r="P415" s="2" t="n">
        <v>0</v>
      </c>
      <c r="Q415" s="2" t="n">
        <v>70</v>
      </c>
      <c r="R415" s="2" t="n">
        <v>1063</v>
      </c>
      <c r="S415" s="2" t="n"/>
      <c r="T415" s="2">
        <f>IF(OR(S415="",R415=0),"",ROUND(S415*R415,2))</f>
        <v/>
      </c>
      <c r="U415" s="2" t="inlineStr"/>
    </row>
    <row r="416">
      <c r="A416" s="2" t="inlineStr">
        <is>
          <t>J</t>
        </is>
      </c>
      <c r="B416" s="2" t="inlineStr">
        <is>
          <t>FINISHINGS</t>
        </is>
      </c>
      <c r="C416" s="2" t="inlineStr">
        <is>
          <t>A</t>
        </is>
      </c>
      <c r="D416" s="2" t="inlineStr">
        <is>
          <t>150mm wide</t>
        </is>
      </c>
      <c r="E416" s="2" t="inlineStr">
        <is>
          <t>m</t>
        </is>
      </c>
      <c r="F416" s="2" t="n">
        <v>2</v>
      </c>
      <c r="G416" s="2" t="n">
        <v>2</v>
      </c>
      <c r="H416" s="2" t="n">
        <v>2</v>
      </c>
      <c r="I416" s="2" t="n">
        <v>2</v>
      </c>
      <c r="J416" s="2" t="n">
        <v>2</v>
      </c>
      <c r="K416" s="2" t="n">
        <v>2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12</v>
      </c>
      <c r="R416" s="2" t="n">
        <v>184</v>
      </c>
      <c r="S416" s="2" t="n"/>
      <c r="T416" s="2">
        <f>IF(OR(S416="",R416=0),"",ROUND(S416*R416,2))</f>
        <v/>
      </c>
      <c r="U416" s="2" t="inlineStr"/>
    </row>
    <row r="417">
      <c r="A417" s="2" t="inlineStr">
        <is>
          <t>J</t>
        </is>
      </c>
      <c r="B417" s="2" t="inlineStr">
        <is>
          <t>FINISHINGS</t>
        </is>
      </c>
      <c r="C417" s="2" t="inlineStr">
        <is>
          <t>A</t>
        </is>
      </c>
      <c r="D417" s="2" t="inlineStr">
        <is>
          <t>285mm wide, to Community Hall</t>
        </is>
      </c>
      <c r="E417" s="2" t="inlineStr">
        <is>
          <t>m</t>
        </is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7</v>
      </c>
      <c r="O417" s="2" t="n">
        <v>0</v>
      </c>
      <c r="P417" s="2" t="n">
        <v>0</v>
      </c>
      <c r="Q417" s="2" t="n">
        <v>7</v>
      </c>
      <c r="R417" s="2" t="n">
        <v>7</v>
      </c>
      <c r="S417" s="2" t="n"/>
      <c r="T417" s="2">
        <f>IF(OR(S417="",R417=0),"",ROUND(S417*R417,2))</f>
        <v/>
      </c>
      <c r="U417" s="2" t="inlineStr"/>
    </row>
    <row r="418">
      <c r="A418" s="2" t="inlineStr">
        <is>
          <t>J</t>
        </is>
      </c>
      <c r="B418" s="2" t="inlineStr">
        <is>
          <t>FINISHINGS</t>
        </is>
      </c>
      <c r="C418" s="2" t="inlineStr">
        <is>
          <t>A</t>
        </is>
      </c>
      <c r="D418" s="2" t="inlineStr">
        <is>
          <t>Ref. PT-100, Fenomastic my home rich matt paint</t>
        </is>
      </c>
      <c r="E418" s="2" t="inlineStr">
        <is>
          <t>m²</t>
        </is>
      </c>
      <c r="F418" s="2" t="n">
        <v>1307</v>
      </c>
      <c r="G418" s="2" t="n">
        <v>1307</v>
      </c>
      <c r="H418" s="2" t="n">
        <v>1879</v>
      </c>
      <c r="I418" s="2" t="n">
        <v>1879</v>
      </c>
      <c r="J418" s="2" t="n">
        <v>2450</v>
      </c>
      <c r="K418" s="2" t="n">
        <v>2450</v>
      </c>
      <c r="L418" s="2" t="n">
        <v>647</v>
      </c>
      <c r="M418" s="2" t="n">
        <v>647</v>
      </c>
      <c r="N418" s="2" t="n">
        <v>0</v>
      </c>
      <c r="O418" s="2" t="n">
        <v>0</v>
      </c>
      <c r="P418" s="2" t="n">
        <v>0</v>
      </c>
      <c r="Q418" s="2" t="n">
        <v>12566</v>
      </c>
      <c r="R418" s="2" t="n">
        <v>184779</v>
      </c>
      <c r="S418" s="2" t="n"/>
      <c r="T418" s="2">
        <f>IF(OR(S418="",R418=0),"",ROUND(S418*R418,2))</f>
        <v/>
      </c>
      <c r="U418" s="2" t="inlineStr"/>
    </row>
    <row r="419">
      <c r="A419" s="2" t="inlineStr">
        <is>
          <t>J</t>
        </is>
      </c>
      <c r="B419" s="2" t="inlineStr">
        <is>
          <t>FINISHINGS</t>
        </is>
      </c>
      <c r="C419" s="2" t="inlineStr">
        <is>
          <t>A</t>
        </is>
      </c>
      <c r="D419" s="2" t="inlineStr">
        <is>
          <t>Ref. MT-103, Brushed Metal, To Lift cabin</t>
        </is>
      </c>
      <c r="E419" s="2" t="inlineStr">
        <is>
          <t>m²</t>
        </is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3</v>
      </c>
      <c r="M419" s="2" t="n">
        <v>3</v>
      </c>
      <c r="N419" s="2" t="n">
        <v>0</v>
      </c>
      <c r="O419" s="2" t="n">
        <v>0</v>
      </c>
      <c r="P419" s="2" t="n">
        <v>0</v>
      </c>
      <c r="Q419" s="2" t="n">
        <v>6</v>
      </c>
      <c r="R419" s="2" t="n">
        <v>111</v>
      </c>
      <c r="S419" s="2" t="n"/>
      <c r="T419" s="2">
        <f>IF(OR(S419="",R419=0),"",ROUND(S419*R419,2))</f>
        <v/>
      </c>
      <c r="U419" s="2" t="inlineStr"/>
    </row>
    <row r="420">
      <c r="A420" s="2" t="inlineStr">
        <is>
          <t>J</t>
        </is>
      </c>
      <c r="B420" s="2" t="inlineStr">
        <is>
          <t>FINISHINGS</t>
        </is>
      </c>
      <c r="C420" s="2" t="inlineStr">
        <is>
          <t>A</t>
        </is>
      </c>
      <c r="D420" s="2" t="inlineStr">
        <is>
          <t>To gypsum board ceiling; GC-100 - Fenomastic my home rich matt paint</t>
        </is>
      </c>
      <c r="E420" s="2" t="inlineStr">
        <is>
          <t>m²</t>
        </is>
      </c>
      <c r="F420" s="2" t="n">
        <v>182</v>
      </c>
      <c r="G420" s="2" t="n">
        <v>182</v>
      </c>
      <c r="H420" s="2" t="n">
        <v>253</v>
      </c>
      <c r="I420" s="2" t="n">
        <v>253</v>
      </c>
      <c r="J420" s="2" t="n">
        <v>323</v>
      </c>
      <c r="K420" s="2" t="n">
        <v>323</v>
      </c>
      <c r="L420" s="2" t="n">
        <v>143</v>
      </c>
      <c r="M420" s="2" t="n">
        <v>143</v>
      </c>
      <c r="N420" s="2" t="n">
        <v>0</v>
      </c>
      <c r="O420" s="2" t="n">
        <v>0</v>
      </c>
      <c r="P420" s="2" t="n">
        <v>0</v>
      </c>
      <c r="Q420" s="2" t="n">
        <v>1802</v>
      </c>
      <c r="R420" s="2" t="n">
        <v>27060</v>
      </c>
      <c r="S420" s="2" t="n"/>
      <c r="T420" s="2">
        <f>IF(OR(S420="",R420=0),"",ROUND(S420*R420,2))</f>
        <v/>
      </c>
      <c r="U420" s="2" t="inlineStr"/>
    </row>
    <row r="421">
      <c r="A421" s="2" t="inlineStr">
        <is>
          <t>J</t>
        </is>
      </c>
      <c r="B421" s="2" t="inlineStr">
        <is>
          <t>FINISHINGS</t>
        </is>
      </c>
      <c r="C421" s="2" t="inlineStr">
        <is>
          <t>B</t>
        </is>
      </c>
      <c r="D421" s="2" t="inlineStr">
        <is>
          <t>165mm wide</t>
        </is>
      </c>
      <c r="E421" s="2" t="inlineStr">
        <is>
          <t>m</t>
        </is>
      </c>
      <c r="F421" s="2" t="n">
        <v>16</v>
      </c>
      <c r="G421" s="2" t="n">
        <v>16</v>
      </c>
      <c r="H421" s="2" t="n">
        <v>25</v>
      </c>
      <c r="I421" s="2" t="n">
        <v>25</v>
      </c>
      <c r="J421" s="2" t="n">
        <v>34</v>
      </c>
      <c r="K421" s="2" t="n">
        <v>34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0</v>
      </c>
      <c r="Q421" s="2" t="n">
        <v>150</v>
      </c>
      <c r="R421" s="2" t="n">
        <v>2111</v>
      </c>
      <c r="S421" s="2" t="n"/>
      <c r="T421" s="2">
        <f>IF(OR(S421="",R421=0),"",ROUND(S421*R421,2))</f>
        <v/>
      </c>
      <c r="U421" s="2" t="inlineStr"/>
    </row>
    <row r="422">
      <c r="A422" s="2" t="inlineStr">
        <is>
          <t>J</t>
        </is>
      </c>
      <c r="B422" s="2" t="inlineStr">
        <is>
          <t>FINISHINGS</t>
        </is>
      </c>
      <c r="C422" s="2" t="inlineStr">
        <is>
          <t>B</t>
        </is>
      </c>
      <c r="D422" s="2" t="inlineStr">
        <is>
          <t>100mm wide</t>
        </is>
      </c>
      <c r="E422" s="2" t="inlineStr">
        <is>
          <t>m</t>
        </is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6</v>
      </c>
      <c r="O422" s="2" t="n">
        <v>0</v>
      </c>
      <c r="P422" s="2" t="n">
        <v>0</v>
      </c>
      <c r="Q422" s="2" t="n">
        <v>6</v>
      </c>
      <c r="R422" s="2" t="n">
        <v>6</v>
      </c>
      <c r="S422" s="2" t="n"/>
      <c r="T422" s="2">
        <f>IF(OR(S422="",R422=0),"",ROUND(S422*R422,2))</f>
        <v/>
      </c>
      <c r="U422" s="2" t="inlineStr"/>
    </row>
    <row r="423">
      <c r="A423" s="2" t="inlineStr">
        <is>
          <t>J</t>
        </is>
      </c>
      <c r="B423" s="2" t="inlineStr">
        <is>
          <t>FINISHINGS</t>
        </is>
      </c>
      <c r="C423" s="2" t="inlineStr">
        <is>
          <t>B</t>
        </is>
      </c>
      <c r="D423" s="2" t="inlineStr">
        <is>
          <t>Ref. PT-101, Fenomastic hygiene emulsion paint</t>
        </is>
      </c>
      <c r="E423" s="2" t="inlineStr">
        <is>
          <t>m²</t>
        </is>
      </c>
      <c r="F423" s="2" t="n">
        <v>248</v>
      </c>
      <c r="G423" s="2" t="n">
        <v>248</v>
      </c>
      <c r="H423" s="2" t="n">
        <v>375</v>
      </c>
      <c r="I423" s="2" t="n">
        <v>375</v>
      </c>
      <c r="J423" s="2" t="n">
        <v>501</v>
      </c>
      <c r="K423" s="2" t="n">
        <v>501</v>
      </c>
      <c r="L423" s="2" t="n">
        <v>117</v>
      </c>
      <c r="M423" s="2" t="n">
        <v>117</v>
      </c>
      <c r="N423" s="2" t="n">
        <v>0</v>
      </c>
      <c r="O423" s="2" t="n">
        <v>0</v>
      </c>
      <c r="P423" s="2" t="n">
        <v>0</v>
      </c>
      <c r="Q423" s="2" t="n">
        <v>2482</v>
      </c>
      <c r="R423" s="2" t="n">
        <v>36146</v>
      </c>
      <c r="S423" s="2" t="n"/>
      <c r="T423" s="2">
        <f>IF(OR(S423="",R423=0),"",ROUND(S423*R423,2))</f>
        <v/>
      </c>
      <c r="U423" s="2" t="inlineStr"/>
    </row>
    <row r="424">
      <c r="A424" s="2" t="inlineStr">
        <is>
          <t>J</t>
        </is>
      </c>
      <c r="B424" s="2" t="inlineStr">
        <is>
          <t>FINISHINGS</t>
        </is>
      </c>
      <c r="C424" s="2" t="inlineStr">
        <is>
          <t>B</t>
        </is>
      </c>
      <c r="D424" s="2" t="inlineStr">
        <is>
          <t>Ref. MT-103, Brushed Metal, To Lift architraves</t>
        </is>
      </c>
      <c r="E424" s="2" t="inlineStr">
        <is>
          <t>m²</t>
        </is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7</v>
      </c>
      <c r="M424" s="2" t="n">
        <v>7</v>
      </c>
      <c r="N424" s="2" t="n">
        <v>0</v>
      </c>
      <c r="O424" s="2" t="n">
        <v>0</v>
      </c>
      <c r="P424" s="2" t="n">
        <v>0</v>
      </c>
      <c r="Q424" s="2" t="n">
        <v>14</v>
      </c>
      <c r="R424" s="2" t="n">
        <v>259</v>
      </c>
      <c r="S424" s="2" t="n"/>
      <c r="T424" s="2">
        <f>IF(OR(S424="",R424=0),"",ROUND(S424*R424,2))</f>
        <v/>
      </c>
      <c r="U424" s="2" t="inlineStr"/>
    </row>
    <row r="425">
      <c r="A425" s="2" t="inlineStr">
        <is>
          <t>J</t>
        </is>
      </c>
      <c r="B425" s="2" t="inlineStr">
        <is>
          <t>FINISHINGS</t>
        </is>
      </c>
      <c r="C425" s="2" t="inlineStr">
        <is>
          <t>B</t>
        </is>
      </c>
      <c r="D425" s="2" t="inlineStr">
        <is>
          <t>To gypsum board ceiling; GC-100 (bulkheads) - Fenomastic my home rich matt paint</t>
        </is>
      </c>
      <c r="E425" s="2" t="inlineStr">
        <is>
          <t>m²</t>
        </is>
      </c>
      <c r="F425" s="2" t="n">
        <v>37</v>
      </c>
      <c r="G425" s="2" t="n">
        <v>37</v>
      </c>
      <c r="H425" s="2" t="n">
        <v>53</v>
      </c>
      <c r="I425" s="2" t="n">
        <v>53</v>
      </c>
      <c r="J425" s="2" t="n">
        <v>69</v>
      </c>
      <c r="K425" s="2" t="n">
        <v>69</v>
      </c>
      <c r="L425" s="2" t="n">
        <v>22</v>
      </c>
      <c r="M425" s="2" t="n">
        <v>22</v>
      </c>
      <c r="N425" s="2" t="n">
        <v>0</v>
      </c>
      <c r="O425" s="2" t="n">
        <v>0</v>
      </c>
      <c r="P425" s="2" t="n">
        <v>0</v>
      </c>
      <c r="Q425" s="2" t="n">
        <v>362</v>
      </c>
      <c r="R425" s="2" t="n">
        <v>5354</v>
      </c>
      <c r="S425" s="2" t="n"/>
      <c r="T425" s="2">
        <f>IF(OR(S425="",R425=0),"",ROUND(S425*R425,2))</f>
        <v/>
      </c>
      <c r="U425" s="2" t="inlineStr"/>
    </row>
    <row r="426">
      <c r="A426" s="2" t="inlineStr">
        <is>
          <t>J</t>
        </is>
      </c>
      <c r="B426" s="2" t="inlineStr">
        <is>
          <t>FINISHINGS</t>
        </is>
      </c>
      <c r="C426" s="2" t="inlineStr">
        <is>
          <t>C</t>
        </is>
      </c>
      <c r="D426" s="2" t="inlineStr">
        <is>
          <t>Ref. RB-101, Rubber flooring. to Gym</t>
        </is>
      </c>
      <c r="E426" s="2" t="inlineStr">
        <is>
          <t>m²</t>
        </is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239</v>
      </c>
      <c r="O426" s="2" t="n">
        <v>0</v>
      </c>
      <c r="P426" s="2" t="n">
        <v>0</v>
      </c>
      <c r="Q426" s="2" t="n">
        <v>239</v>
      </c>
      <c r="R426" s="2" t="n">
        <v>239</v>
      </c>
      <c r="S426" s="2" t="n"/>
      <c r="T426" s="2">
        <f>IF(OR(S426="",R426=0),"",ROUND(S426*R426,2))</f>
        <v/>
      </c>
      <c r="U426" s="2" t="inlineStr"/>
    </row>
    <row r="427">
      <c r="A427" s="2" t="inlineStr">
        <is>
          <t>J</t>
        </is>
      </c>
      <c r="B427" s="2" t="inlineStr">
        <is>
          <t>FINISHINGS</t>
        </is>
      </c>
      <c r="C427" s="2" t="inlineStr">
        <is>
          <t>C</t>
        </is>
      </c>
      <c r="D427" s="2" t="inlineStr">
        <is>
          <t>185mm wide</t>
        </is>
      </c>
      <c r="E427" s="2" t="inlineStr">
        <is>
          <t>m</t>
        </is>
      </c>
      <c r="F427" s="2" t="n">
        <v>2</v>
      </c>
      <c r="G427" s="2" t="n">
        <v>2</v>
      </c>
      <c r="H427" s="2" t="n">
        <v>2</v>
      </c>
      <c r="I427" s="2" t="n">
        <v>2</v>
      </c>
      <c r="J427" s="2" t="n">
        <v>2</v>
      </c>
      <c r="K427" s="2" t="n">
        <v>2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0</v>
      </c>
      <c r="Q427" s="2" t="n">
        <v>12</v>
      </c>
      <c r="R427" s="2" t="n">
        <v>184</v>
      </c>
      <c r="S427" s="2" t="n"/>
      <c r="T427" s="2">
        <f>IF(OR(S427="",R427=0),"",ROUND(S427*R427,2))</f>
        <v/>
      </c>
      <c r="U427" s="2" t="inlineStr"/>
    </row>
    <row r="428">
      <c r="A428" s="2" t="inlineStr">
        <is>
          <t>J</t>
        </is>
      </c>
      <c r="B428" s="2" t="inlineStr">
        <is>
          <t>FINISHINGS</t>
        </is>
      </c>
      <c r="C428" s="2" t="inlineStr">
        <is>
          <t>C</t>
        </is>
      </c>
      <c r="D428" s="2" t="inlineStr">
        <is>
          <t>160mm wide</t>
        </is>
      </c>
      <c r="E428" s="2" t="inlineStr">
        <is>
          <t>m</t>
        </is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1</v>
      </c>
      <c r="O428" s="2" t="n">
        <v>0</v>
      </c>
      <c r="P428" s="2" t="n">
        <v>0</v>
      </c>
      <c r="Q428" s="2" t="n">
        <v>1</v>
      </c>
      <c r="R428" s="2" t="n">
        <v>1</v>
      </c>
      <c r="S428" s="2" t="n"/>
      <c r="T428" s="2">
        <f>IF(OR(S428="",R428=0),"",ROUND(S428*R428,2))</f>
        <v/>
      </c>
      <c r="U428" s="2" t="inlineStr"/>
    </row>
    <row r="429">
      <c r="A429" s="2" t="inlineStr">
        <is>
          <t>J</t>
        </is>
      </c>
      <c r="B429" s="2" t="inlineStr">
        <is>
          <t>FINISHINGS</t>
        </is>
      </c>
      <c r="C429" s="2" t="inlineStr">
        <is>
          <t>C</t>
        </is>
      </c>
      <c r="D429" s="2" t="inlineStr">
        <is>
          <t>Ref. PT-102, Acrylic emulsion paint satin finish RAL 9010</t>
        </is>
      </c>
      <c r="E429" s="2" t="inlineStr">
        <is>
          <t>m²</t>
        </is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29</v>
      </c>
      <c r="P429" s="2" t="n">
        <v>0</v>
      </c>
      <c r="Q429" s="2" t="n">
        <v>29</v>
      </c>
      <c r="R429" s="2" t="n">
        <v>29</v>
      </c>
      <c r="S429" s="2" t="n"/>
      <c r="T429" s="2">
        <f>IF(OR(S429="",R429=0),"",ROUND(S429*R429,2))</f>
        <v/>
      </c>
      <c r="U429" s="2" t="inlineStr"/>
    </row>
    <row r="430">
      <c r="A430" s="2" t="inlineStr">
        <is>
          <t>J</t>
        </is>
      </c>
      <c r="B430" s="2" t="inlineStr">
        <is>
          <t>FINISHINGS</t>
        </is>
      </c>
      <c r="C430" s="2" t="inlineStr">
        <is>
          <t>C</t>
        </is>
      </c>
      <c r="D430" s="2" t="inlineStr">
        <is>
          <t>Mirror to Lift cabin</t>
        </is>
      </c>
      <c r="E430" s="2" t="inlineStr">
        <is>
          <t>m²</t>
        </is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1</v>
      </c>
      <c r="M430" s="2" t="n">
        <v>1</v>
      </c>
      <c r="N430" s="2" t="n">
        <v>0</v>
      </c>
      <c r="O430" s="2" t="n">
        <v>0</v>
      </c>
      <c r="P430" s="2" t="n">
        <v>0</v>
      </c>
      <c r="Q430" s="2" t="n">
        <v>2</v>
      </c>
      <c r="R430" s="2" t="n">
        <v>37</v>
      </c>
      <c r="S430" s="2" t="n"/>
      <c r="T430" s="2">
        <f>IF(OR(S430="",R430=0),"",ROUND(S430*R430,2))</f>
        <v/>
      </c>
      <c r="U430" s="2" t="inlineStr"/>
    </row>
    <row r="431">
      <c r="A431" s="2" t="inlineStr">
        <is>
          <t>J</t>
        </is>
      </c>
      <c r="B431" s="2" t="inlineStr">
        <is>
          <t>FINISHINGS</t>
        </is>
      </c>
      <c r="C431" s="2" t="inlineStr">
        <is>
          <t>C</t>
        </is>
      </c>
      <c r="D431" s="2" t="inlineStr">
        <is>
          <t>To gypsum board ceiling; GC-102 - Fenomastic hygiene emulsion paint</t>
        </is>
      </c>
      <c r="E431" s="2" t="inlineStr">
        <is>
          <t>m²</t>
        </is>
      </c>
      <c r="F431" s="2" t="n">
        <v>105</v>
      </c>
      <c r="G431" s="2" t="n">
        <v>105</v>
      </c>
      <c r="H431" s="2" t="n">
        <v>149</v>
      </c>
      <c r="I431" s="2" t="n">
        <v>149</v>
      </c>
      <c r="J431" s="2" t="n">
        <v>193</v>
      </c>
      <c r="K431" s="2" t="n">
        <v>193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894</v>
      </c>
      <c r="R431" s="2" t="n">
        <v>12784</v>
      </c>
      <c r="S431" s="2" t="n"/>
      <c r="T431" s="2">
        <f>IF(OR(S431="",R431=0),"",ROUND(S431*R431,2))</f>
        <v/>
      </c>
      <c r="U431" s="2" t="inlineStr"/>
    </row>
    <row r="432">
      <c r="A432" s="2" t="inlineStr">
        <is>
          <t>J</t>
        </is>
      </c>
      <c r="B432" s="2" t="inlineStr">
        <is>
          <t>FINISHINGS</t>
        </is>
      </c>
      <c r="C432" s="2" t="inlineStr">
        <is>
          <t>D</t>
        </is>
      </c>
      <c r="D432" s="2" t="inlineStr">
        <is>
          <t>Ref. MT-107, floor transition movement, to Community Hall</t>
        </is>
      </c>
      <c r="E432" s="2" t="inlineStr">
        <is>
          <t>m</t>
        </is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19</v>
      </c>
      <c r="O432" s="2" t="n">
        <v>0</v>
      </c>
      <c r="P432" s="2" t="n">
        <v>0</v>
      </c>
      <c r="Q432" s="2" t="n">
        <v>19</v>
      </c>
      <c r="R432" s="2" t="n">
        <v>19</v>
      </c>
      <c r="S432" s="2" t="n"/>
      <c r="T432" s="2">
        <f>IF(OR(S432="",R432=0),"",ROUND(S432*R432,2))</f>
        <v/>
      </c>
      <c r="U432" s="2" t="inlineStr"/>
    </row>
    <row r="433">
      <c r="A433" s="2" t="inlineStr">
        <is>
          <t>J</t>
        </is>
      </c>
      <c r="B433" s="2" t="inlineStr">
        <is>
          <t>FINISHINGS</t>
        </is>
      </c>
      <c r="C433" s="2" t="inlineStr">
        <is>
          <t>D</t>
        </is>
      </c>
      <c r="D433" s="2" t="inlineStr">
        <is>
          <t>270mm wide</t>
        </is>
      </c>
      <c r="E433" s="2" t="inlineStr">
        <is>
          <t>m</t>
        </is>
      </c>
      <c r="F433" s="2" t="n">
        <v>2</v>
      </c>
      <c r="G433" s="2" t="n">
        <v>2</v>
      </c>
      <c r="H433" s="2" t="n">
        <v>5</v>
      </c>
      <c r="I433" s="2" t="n">
        <v>5</v>
      </c>
      <c r="J433" s="2" t="n">
        <v>7</v>
      </c>
      <c r="K433" s="2" t="n">
        <v>7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28</v>
      </c>
      <c r="R433" s="2" t="n">
        <v>381</v>
      </c>
      <c r="S433" s="2" t="n"/>
      <c r="T433" s="2">
        <f>IF(OR(S433="",R433=0),"",ROUND(S433*R433,2))</f>
        <v/>
      </c>
      <c r="U433" s="2" t="inlineStr"/>
    </row>
    <row r="434">
      <c r="A434" s="2" t="inlineStr">
        <is>
          <t>J</t>
        </is>
      </c>
      <c r="B434" s="2" t="inlineStr">
        <is>
          <t>FINISHINGS</t>
        </is>
      </c>
      <c r="C434" s="2" t="inlineStr">
        <is>
          <t>D</t>
        </is>
      </c>
      <c r="D434" s="2" t="inlineStr">
        <is>
          <t>310mm wide, to Toilet, at service block</t>
        </is>
      </c>
      <c r="E434" s="2" t="inlineStr">
        <is>
          <t>m</t>
        </is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8</v>
      </c>
      <c r="O434" s="2" t="n">
        <v>0</v>
      </c>
      <c r="P434" s="2" t="n">
        <v>0</v>
      </c>
      <c r="Q434" s="2" t="n">
        <v>8</v>
      </c>
      <c r="R434" s="2" t="n">
        <v>8</v>
      </c>
      <c r="S434" s="2" t="n"/>
      <c r="T434" s="2">
        <f>IF(OR(S434="",R434=0),"",ROUND(S434*R434,2))</f>
        <v/>
      </c>
      <c r="U434" s="2" t="inlineStr"/>
    </row>
    <row r="435">
      <c r="A435" s="2" t="inlineStr">
        <is>
          <t>J</t>
        </is>
      </c>
      <c r="B435" s="2" t="inlineStr">
        <is>
          <t>FINISHINGS</t>
        </is>
      </c>
      <c r="C435" s="2" t="inlineStr">
        <is>
          <t>D</t>
        </is>
      </c>
      <c r="D435" s="2" t="inlineStr">
        <is>
          <t>Oil based alkyd enamel paint to Garbage Room</t>
        </is>
      </c>
      <c r="E435" s="2" t="inlineStr">
        <is>
          <t>m²</t>
        </is>
      </c>
      <c r="F435" s="2" t="n">
        <v>22</v>
      </c>
      <c r="G435" s="2" t="n">
        <v>22</v>
      </c>
      <c r="H435" s="2" t="n">
        <v>44</v>
      </c>
      <c r="I435" s="2" t="n">
        <v>44</v>
      </c>
      <c r="J435" s="2" t="n">
        <v>66</v>
      </c>
      <c r="K435" s="2" t="n">
        <v>66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  <c r="Q435" s="2" t="n">
        <v>264</v>
      </c>
      <c r="R435" s="2" t="n">
        <v>3586</v>
      </c>
      <c r="S435" s="2" t="n"/>
      <c r="T435" s="2">
        <f>IF(OR(S435="",R435=0),"",ROUND(S435*R435,2))</f>
        <v/>
      </c>
      <c r="U435" s="2" t="inlineStr"/>
    </row>
    <row r="436">
      <c r="A436" s="2" t="inlineStr">
        <is>
          <t>J</t>
        </is>
      </c>
      <c r="B436" s="2" t="inlineStr">
        <is>
          <t>FINISHINGS</t>
        </is>
      </c>
      <c r="C436" s="2" t="inlineStr">
        <is>
          <t>D</t>
        </is>
      </c>
      <c r="D436" s="2" t="inlineStr">
        <is>
          <t>Ref. GL-101, Mirror, to gym</t>
        </is>
      </c>
      <c r="E436" s="2" t="inlineStr">
        <is>
          <t>m²</t>
        </is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41</v>
      </c>
      <c r="O436" s="2" t="n">
        <v>0</v>
      </c>
      <c r="P436" s="2" t="n">
        <v>0</v>
      </c>
      <c r="Q436" s="2" t="n">
        <v>41</v>
      </c>
      <c r="R436" s="2" t="n">
        <v>41</v>
      </c>
      <c r="S436" s="2" t="n"/>
      <c r="T436" s="2">
        <f>IF(OR(S436="",R436=0),"",ROUND(S436*R436,2))</f>
        <v/>
      </c>
      <c r="U436" s="2" t="inlineStr"/>
    </row>
    <row r="437">
      <c r="A437" s="2" t="inlineStr">
        <is>
          <t>J</t>
        </is>
      </c>
      <c r="B437" s="2" t="inlineStr">
        <is>
          <t>FINISHINGS</t>
        </is>
      </c>
      <c r="C437" s="2" t="inlineStr">
        <is>
          <t>D</t>
        </is>
      </c>
      <c r="D437" s="2" t="inlineStr">
        <is>
          <t>To gypsum board ceiling; GC-102 (bulkheads) - Fenomastic hygiene emulsion paint</t>
        </is>
      </c>
      <c r="E437" s="2" t="inlineStr">
        <is>
          <t>m²</t>
        </is>
      </c>
      <c r="F437" s="2" t="n">
        <v>5</v>
      </c>
      <c r="G437" s="2" t="n">
        <v>5</v>
      </c>
      <c r="H437" s="2" t="n">
        <v>6</v>
      </c>
      <c r="I437" s="2" t="n">
        <v>6</v>
      </c>
      <c r="J437" s="2" t="n">
        <v>7</v>
      </c>
      <c r="K437" s="2" t="n">
        <v>7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  <c r="Q437" s="2" t="n">
        <v>36</v>
      </c>
      <c r="R437" s="2" t="n">
        <v>531</v>
      </c>
      <c r="S437" s="2" t="n"/>
      <c r="T437" s="2">
        <f>IF(OR(S437="",R437=0),"",ROUND(S437*R437,2))</f>
        <v/>
      </c>
      <c r="U437" s="2" t="inlineStr"/>
    </row>
    <row r="438">
      <c r="A438" s="2" t="inlineStr">
        <is>
          <t>J</t>
        </is>
      </c>
      <c r="B438" s="2" t="inlineStr">
        <is>
          <t>FINISHINGS</t>
        </is>
      </c>
      <c r="C438" s="2" t="inlineStr">
        <is>
          <t>E</t>
        </is>
      </c>
      <c r="D438" s="2" t="inlineStr">
        <is>
          <t>Ref. TL-100, Resincrete White Fango, size 600x600x9mm</t>
        </is>
      </c>
      <c r="E438" s="2" t="inlineStr">
        <is>
          <t>m²</t>
        </is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6</v>
      </c>
      <c r="M438" s="2" t="n">
        <v>6</v>
      </c>
      <c r="N438" s="2" t="n">
        <v>0</v>
      </c>
      <c r="O438" s="2" t="n">
        <v>0</v>
      </c>
      <c r="P438" s="2" t="n">
        <v>0</v>
      </c>
      <c r="Q438" s="2" t="n">
        <v>12</v>
      </c>
      <c r="R438" s="2" t="n">
        <v>222</v>
      </c>
      <c r="S438" s="2" t="n"/>
      <c r="T438" s="2">
        <f>IF(OR(S438="",R438=0),"",ROUND(S438*R438,2))</f>
        <v/>
      </c>
      <c r="U438" s="2" t="inlineStr"/>
    </row>
    <row r="439">
      <c r="A439" s="2" t="inlineStr">
        <is>
          <t>J</t>
        </is>
      </c>
      <c r="B439" s="2" t="inlineStr">
        <is>
          <t>FINISHINGS</t>
        </is>
      </c>
      <c r="C439" s="2" t="inlineStr">
        <is>
          <t>E</t>
        </is>
      </c>
      <c r="D439" s="2" t="inlineStr">
        <is>
          <t>285mm wide</t>
        </is>
      </c>
      <c r="E439" s="2" t="inlineStr">
        <is>
          <t>m</t>
        </is>
      </c>
      <c r="F439" s="2" t="n">
        <v>2</v>
      </c>
      <c r="G439" s="2" t="n">
        <v>2</v>
      </c>
      <c r="H439" s="2" t="n">
        <v>2</v>
      </c>
      <c r="I439" s="2" t="n">
        <v>2</v>
      </c>
      <c r="J439" s="2" t="n">
        <v>2</v>
      </c>
      <c r="K439" s="2" t="n">
        <v>2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  <c r="Q439" s="2" t="n">
        <v>12</v>
      </c>
      <c r="R439" s="2" t="n">
        <v>184</v>
      </c>
      <c r="S439" s="2" t="n"/>
      <c r="T439" s="2">
        <f>IF(OR(S439="",R439=0),"",ROUND(S439*R439,2))</f>
        <v/>
      </c>
      <c r="U439" s="2" t="inlineStr"/>
    </row>
    <row r="440">
      <c r="A440" s="2" t="inlineStr">
        <is>
          <t>J</t>
        </is>
      </c>
      <c r="B440" s="2" t="inlineStr">
        <is>
          <t>FINISHINGS</t>
        </is>
      </c>
      <c r="C440" s="2" t="inlineStr">
        <is>
          <t>E</t>
        </is>
      </c>
      <c r="D440" s="2" t="inlineStr">
        <is>
          <t>310mm wide, laid to slop, to Handicap Toilet, at service block</t>
        </is>
      </c>
      <c r="E440" s="2" t="inlineStr">
        <is>
          <t>m</t>
        </is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1</v>
      </c>
      <c r="O440" s="2" t="n">
        <v>0</v>
      </c>
      <c r="P440" s="2" t="n">
        <v>0</v>
      </c>
      <c r="Q440" s="2" t="n">
        <v>1</v>
      </c>
      <c r="R440" s="2" t="n">
        <v>1</v>
      </c>
      <c r="S440" s="2" t="n"/>
      <c r="T440" s="2">
        <f>IF(OR(S440="",R440=0),"",ROUND(S440*R440,2))</f>
        <v/>
      </c>
      <c r="U440" s="2" t="inlineStr"/>
    </row>
    <row r="441">
      <c r="A441" s="2" t="inlineStr">
        <is>
          <t>J</t>
        </is>
      </c>
      <c r="B441" s="2" t="inlineStr">
        <is>
          <t>FINISHINGS</t>
        </is>
      </c>
      <c r="C441" s="2" t="inlineStr">
        <is>
          <t>E</t>
        </is>
      </c>
      <c r="D441" s="2" t="inlineStr">
        <is>
          <t>Moisture resistant paint satin finish RAL 9010 to Pump / MDB Room</t>
        </is>
      </c>
      <c r="E441" s="2" t="inlineStr">
        <is>
          <t>m²</t>
        </is>
      </c>
      <c r="F441" s="2" t="n">
        <v>56</v>
      </c>
      <c r="G441" s="2" t="n">
        <v>56</v>
      </c>
      <c r="H441" s="2" t="n">
        <v>74</v>
      </c>
      <c r="I441" s="2" t="n">
        <v>74</v>
      </c>
      <c r="J441" s="2" t="n">
        <v>93</v>
      </c>
      <c r="K441" s="2" t="n">
        <v>933</v>
      </c>
      <c r="L441" s="2" t="n">
        <v>44</v>
      </c>
      <c r="M441" s="2" t="n">
        <v>44</v>
      </c>
      <c r="N441" s="2" t="n">
        <v>0</v>
      </c>
      <c r="O441" s="2" t="n">
        <v>0</v>
      </c>
      <c r="P441" s="2" t="n">
        <v>0</v>
      </c>
      <c r="Q441" s="2" t="n">
        <v>1374</v>
      </c>
      <c r="R441" s="2" t="n">
        <v>13954</v>
      </c>
      <c r="S441" s="2" t="n"/>
      <c r="T441" s="2">
        <f>IF(OR(S441="",R441=0),"",ROUND(S441*R441,2))</f>
        <v/>
      </c>
      <c r="U441" s="2" t="inlineStr"/>
    </row>
    <row r="442">
      <c r="A442" s="2" t="inlineStr">
        <is>
          <t>J</t>
        </is>
      </c>
      <c r="B442" s="2" t="inlineStr">
        <is>
          <t>FINISHINGS</t>
        </is>
      </c>
      <c r="C442" s="2" t="inlineStr">
        <is>
          <t>E</t>
        </is>
      </c>
      <c r="D442" s="2" t="inlineStr">
        <is>
          <t>Ref. MT-101, Powder Coated Y-Shaped Edge &amp; Corner Trim</t>
        </is>
      </c>
      <c r="E442" s="2" t="inlineStr">
        <is>
          <t>m</t>
        </is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42</v>
      </c>
      <c r="M442" s="2" t="n">
        <v>42</v>
      </c>
      <c r="N442" s="2" t="n">
        <v>0</v>
      </c>
      <c r="O442" s="2" t="n">
        <v>0</v>
      </c>
      <c r="P442" s="2" t="n">
        <v>0</v>
      </c>
      <c r="Q442" s="2" t="n">
        <v>84</v>
      </c>
      <c r="R442" s="2" t="n">
        <v>1554</v>
      </c>
      <c r="S442" s="2" t="n"/>
      <c r="T442" s="2">
        <f>IF(OR(S442="",R442=0),"",ROUND(S442*R442,2))</f>
        <v/>
      </c>
      <c r="U442" s="2" t="inlineStr"/>
    </row>
    <row r="443">
      <c r="A443" s="2" t="inlineStr">
        <is>
          <t>J</t>
        </is>
      </c>
      <c r="B443" s="2" t="inlineStr">
        <is>
          <t>FINISHINGS</t>
        </is>
      </c>
      <c r="C443" s="2" t="inlineStr">
        <is>
          <t>E</t>
        </is>
      </c>
      <c r="D443" s="2" t="inlineStr">
        <is>
          <t>To exposed concrete slab; PT-101, Fenomastic hygiene emulsion paint</t>
        </is>
      </c>
      <c r="E443" s="2" t="inlineStr">
        <is>
          <t>m²</t>
        </is>
      </c>
      <c r="F443" s="2" t="n">
        <v>2</v>
      </c>
      <c r="G443" s="2" t="n">
        <v>2</v>
      </c>
      <c r="H443" s="2" t="n">
        <v>4</v>
      </c>
      <c r="I443" s="2" t="n">
        <v>4</v>
      </c>
      <c r="J443" s="2" t="n">
        <v>6</v>
      </c>
      <c r="K443" s="2" t="n">
        <v>6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  <c r="Q443" s="2" t="n">
        <v>24</v>
      </c>
      <c r="R443" s="2" t="n">
        <v>326</v>
      </c>
      <c r="S443" s="2" t="n"/>
      <c r="T443" s="2">
        <f>IF(OR(S443="",R443=0),"",ROUND(S443*R443,2))</f>
        <v/>
      </c>
      <c r="U443" s="2" t="inlineStr"/>
    </row>
    <row r="444">
      <c r="A444" s="2" t="inlineStr">
        <is>
          <t>J</t>
        </is>
      </c>
      <c r="B444" s="2" t="inlineStr">
        <is>
          <t>FINISHINGS</t>
        </is>
      </c>
      <c r="C444" s="2" t="inlineStr">
        <is>
          <t>F</t>
        </is>
      </c>
      <c r="D444" s="2" t="inlineStr">
        <is>
          <t>Ref. TL-102, Resincrete White Fango, size 600x600x9mm</t>
        </is>
      </c>
      <c r="E444" s="2" t="inlineStr">
        <is>
          <t>m²</t>
        </is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4</v>
      </c>
      <c r="M444" s="2" t="n">
        <v>4</v>
      </c>
      <c r="N444" s="2" t="n">
        <v>0</v>
      </c>
      <c r="O444" s="2" t="n">
        <v>0</v>
      </c>
      <c r="P444" s="2" t="n">
        <v>0</v>
      </c>
      <c r="Q444" s="2" t="n">
        <v>8</v>
      </c>
      <c r="R444" s="2" t="n">
        <v>148</v>
      </c>
      <c r="S444" s="2" t="n"/>
      <c r="T444" s="2">
        <f>IF(OR(S444="",R444=0),"",ROUND(S444*R444,2))</f>
        <v/>
      </c>
      <c r="U444" s="2" t="inlineStr"/>
    </row>
    <row r="445">
      <c r="A445" s="2" t="inlineStr">
        <is>
          <t>J</t>
        </is>
      </c>
      <c r="B445" s="2" t="inlineStr">
        <is>
          <t>FINISHINGS</t>
        </is>
      </c>
      <c r="C445" s="2" t="inlineStr">
        <is>
          <t>F</t>
        </is>
      </c>
      <c r="D445" s="2" t="inlineStr">
        <is>
          <t>100mm wide</t>
        </is>
      </c>
      <c r="E445" s="2" t="inlineStr">
        <is>
          <t>m</t>
        </is>
      </c>
      <c r="F445" s="2" t="n">
        <v>3</v>
      </c>
      <c r="G445" s="2" t="n">
        <v>3</v>
      </c>
      <c r="H445" s="2" t="n">
        <v>6</v>
      </c>
      <c r="I445" s="2" t="n">
        <v>6</v>
      </c>
      <c r="J445" s="2" t="n">
        <v>9</v>
      </c>
      <c r="K445" s="2" t="n">
        <v>9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0</v>
      </c>
      <c r="Q445" s="2" t="n">
        <v>36</v>
      </c>
      <c r="R445" s="2" t="n">
        <v>489</v>
      </c>
      <c r="S445" s="2" t="n"/>
      <c r="T445" s="2">
        <f>IF(OR(S445="",R445=0),"",ROUND(S445*R445,2))</f>
        <v/>
      </c>
      <c r="U445" s="2" t="inlineStr"/>
    </row>
    <row r="446">
      <c r="A446" s="2" t="inlineStr">
        <is>
          <t>J</t>
        </is>
      </c>
      <c r="B446" s="2" t="inlineStr">
        <is>
          <t>FINISHINGS</t>
        </is>
      </c>
      <c r="C446" s="2" t="inlineStr">
        <is>
          <t>F</t>
        </is>
      </c>
      <c r="D446" s="2" t="inlineStr">
        <is>
          <t>250mm wide, to Gym</t>
        </is>
      </c>
      <c r="E446" s="2" t="inlineStr">
        <is>
          <t>m</t>
        </is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4</v>
      </c>
      <c r="O446" s="2" t="n">
        <v>0</v>
      </c>
      <c r="P446" s="2" t="n">
        <v>0</v>
      </c>
      <c r="Q446" s="2" t="n">
        <v>4</v>
      </c>
      <c r="R446" s="2" t="n">
        <v>4</v>
      </c>
      <c r="S446" s="2" t="n"/>
      <c r="T446" s="2">
        <f>IF(OR(S446="",R446=0),"",ROUND(S446*R446,2))</f>
        <v/>
      </c>
      <c r="U446" s="2" t="inlineStr"/>
    </row>
    <row r="447">
      <c r="A447" s="2" t="inlineStr">
        <is>
          <t>J</t>
        </is>
      </c>
      <c r="B447" s="2" t="inlineStr">
        <is>
          <t>FINISHINGS</t>
        </is>
      </c>
      <c r="C447" s="2" t="inlineStr">
        <is>
          <t>F</t>
        </is>
      </c>
      <c r="D447" s="2" t="inlineStr">
        <is>
          <t>Stone skirting To Lift cabin, 100mm high</t>
        </is>
      </c>
      <c r="E447" s="2" t="inlineStr">
        <is>
          <t>m</t>
        </is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4</v>
      </c>
      <c r="M447" s="2" t="n">
        <v>4</v>
      </c>
      <c r="N447" s="2" t="n">
        <v>0</v>
      </c>
      <c r="O447" s="2" t="n">
        <v>0</v>
      </c>
      <c r="P447" s="2" t="n">
        <v>0</v>
      </c>
      <c r="Q447" s="2" t="n">
        <v>8</v>
      </c>
      <c r="R447" s="2" t="n">
        <v>148</v>
      </c>
      <c r="S447" s="2" t="n"/>
      <c r="T447" s="2">
        <f>IF(OR(S447="",R447=0),"",ROUND(S447*R447,2))</f>
        <v/>
      </c>
      <c r="U447" s="2" t="inlineStr"/>
    </row>
    <row r="448">
      <c r="A448" s="2" t="inlineStr">
        <is>
          <t>J</t>
        </is>
      </c>
      <c r="B448" s="2" t="inlineStr">
        <is>
          <t>FINISHINGS</t>
        </is>
      </c>
      <c r="C448" s="2" t="inlineStr">
        <is>
          <t>F</t>
        </is>
      </c>
      <c r="D448" s="2" t="inlineStr">
        <is>
          <t>Anti-fungal paint to walls above false ceiling to wet areas</t>
        </is>
      </c>
      <c r="E448" s="2" t="inlineStr">
        <is>
          <t>m²</t>
        </is>
      </c>
      <c r="F448" s="2" t="n">
        <v>136</v>
      </c>
      <c r="G448" s="2" t="n">
        <v>136</v>
      </c>
      <c r="H448" s="2" t="n">
        <v>197</v>
      </c>
      <c r="I448" s="2" t="n">
        <v>197</v>
      </c>
      <c r="J448" s="2" t="n">
        <v>258</v>
      </c>
      <c r="K448" s="2" t="n">
        <v>258</v>
      </c>
      <c r="L448" s="2" t="n">
        <v>65</v>
      </c>
      <c r="M448" s="2" t="n">
        <v>65</v>
      </c>
      <c r="N448" s="2" t="n">
        <v>88</v>
      </c>
      <c r="O448" s="2" t="n">
        <v>5</v>
      </c>
      <c r="P448" s="2" t="n">
        <v>0</v>
      </c>
      <c r="Q448" s="2" t="n">
        <v>1405</v>
      </c>
      <c r="R448" s="2" t="n">
        <v>19341</v>
      </c>
      <c r="S448" s="2" t="n"/>
      <c r="T448" s="2">
        <f>IF(OR(S448="",R448=0),"",ROUND(S448*R448,2))</f>
        <v/>
      </c>
      <c r="U448" s="2" t="inlineStr"/>
    </row>
    <row r="449">
      <c r="A449" s="2" t="inlineStr">
        <is>
          <t>J</t>
        </is>
      </c>
      <c r="B449" s="2" t="inlineStr">
        <is>
          <t>FINISHINGS</t>
        </is>
      </c>
      <c r="C449" s="2" t="inlineStr">
        <is>
          <t>F</t>
        </is>
      </c>
      <c r="D449" s="2" t="inlineStr">
        <is>
          <t>Ref. MT-102, L-Shaped Metal trim</t>
        </is>
      </c>
      <c r="E449" s="2" t="inlineStr">
        <is>
          <t>m</t>
        </is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2</v>
      </c>
      <c r="M449" s="2" t="n">
        <v>2</v>
      </c>
      <c r="N449" s="2" t="n">
        <v>0</v>
      </c>
      <c r="O449" s="2" t="n">
        <v>0</v>
      </c>
      <c r="P449" s="2" t="n">
        <v>0</v>
      </c>
      <c r="Q449" s="2" t="n">
        <v>4</v>
      </c>
      <c r="R449" s="2" t="n">
        <v>74</v>
      </c>
      <c r="S449" s="2" t="n"/>
      <c r="T449" s="2">
        <f>IF(OR(S449="",R449=0),"",ROUND(S449*R449,2))</f>
        <v/>
      </c>
      <c r="U449" s="2" t="inlineStr"/>
    </row>
    <row r="450">
      <c r="A450" s="2" t="inlineStr">
        <is>
          <t>J</t>
        </is>
      </c>
      <c r="B450" s="2" t="inlineStr">
        <is>
          <t>FINISHINGS</t>
        </is>
      </c>
      <c r="C450" s="2" t="inlineStr">
        <is>
          <t>F</t>
        </is>
      </c>
      <c r="D450" s="2" t="inlineStr">
        <is>
          <t>To cement board ceiling; CB-03, Moisture resistant paint finish</t>
        </is>
      </c>
      <c r="E450" s="2" t="inlineStr">
        <is>
          <t>m²</t>
        </is>
      </c>
      <c r="F450" s="2" t="n">
        <v>254</v>
      </c>
      <c r="G450" s="2" t="n">
        <v>254</v>
      </c>
      <c r="H450" s="2" t="n">
        <v>378</v>
      </c>
      <c r="I450" s="2" t="n">
        <v>378</v>
      </c>
      <c r="J450" s="2" t="n">
        <v>503</v>
      </c>
      <c r="K450" s="2" t="n">
        <v>503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  <c r="Q450" s="2" t="n">
        <v>2270</v>
      </c>
      <c r="R450" s="2" t="n">
        <v>32188</v>
      </c>
      <c r="S450" s="2" t="n"/>
      <c r="T450" s="2">
        <f>IF(OR(S450="",R450=0),"",ROUND(S450*R450,2))</f>
        <v/>
      </c>
      <c r="U450" s="2" t="inlineStr"/>
    </row>
    <row r="451">
      <c r="A451" s="2" t="inlineStr">
        <is>
          <t>J</t>
        </is>
      </c>
      <c r="B451" s="2" t="inlineStr">
        <is>
          <t>FINISHINGS</t>
        </is>
      </c>
      <c r="C451" s="2" t="inlineStr">
        <is>
          <t>G</t>
        </is>
      </c>
      <c r="D451" s="2" t="inlineStr">
        <is>
          <t>140mm wide</t>
        </is>
      </c>
      <c r="E451" s="2" t="inlineStr">
        <is>
          <t>m</t>
        </is>
      </c>
      <c r="F451" s="2" t="n">
        <v>5</v>
      </c>
      <c r="G451" s="2" t="n">
        <v>5</v>
      </c>
      <c r="H451" s="2" t="n">
        <v>5</v>
      </c>
      <c r="I451" s="2" t="n">
        <v>5</v>
      </c>
      <c r="J451" s="2" t="n">
        <v>5</v>
      </c>
      <c r="K451" s="2" t="n">
        <v>5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  <c r="Q451" s="2" t="n">
        <v>30</v>
      </c>
      <c r="R451" s="2" t="n">
        <v>460</v>
      </c>
      <c r="S451" s="2" t="n"/>
      <c r="T451" s="2">
        <f>IF(OR(S451="",R451=0),"",ROUND(S451*R451,2))</f>
        <v/>
      </c>
      <c r="U451" s="2" t="inlineStr"/>
    </row>
    <row r="452">
      <c r="A452" s="2" t="inlineStr">
        <is>
          <t>J</t>
        </is>
      </c>
      <c r="B452" s="2" t="inlineStr">
        <is>
          <t>FINISHINGS</t>
        </is>
      </c>
      <c r="C452" s="2" t="inlineStr">
        <is>
          <t>G</t>
        </is>
      </c>
      <c r="D452" s="2" t="inlineStr">
        <is>
          <t>130mm wide</t>
        </is>
      </c>
      <c r="E452" s="2" t="inlineStr">
        <is>
          <t>m</t>
        </is>
      </c>
      <c r="F452" s="2" t="n">
        <v>13</v>
      </c>
      <c r="G452" s="2" t="n">
        <v>13</v>
      </c>
      <c r="H452" s="2" t="n">
        <v>20</v>
      </c>
      <c r="I452" s="2" t="n">
        <v>20</v>
      </c>
      <c r="J452" s="2" t="n">
        <v>26</v>
      </c>
      <c r="K452" s="2" t="n">
        <v>26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118</v>
      </c>
      <c r="R452" s="2" t="n">
        <v>1677</v>
      </c>
      <c r="S452" s="2" t="n"/>
      <c r="T452" s="2">
        <f>IF(OR(S452="",R452=0),"",ROUND(S452*R452,2))</f>
        <v/>
      </c>
      <c r="U452" s="2" t="inlineStr"/>
    </row>
    <row r="453">
      <c r="A453" s="2" t="inlineStr">
        <is>
          <t>J</t>
        </is>
      </c>
      <c r="B453" s="2" t="inlineStr">
        <is>
          <t>FINISHINGS</t>
        </is>
      </c>
      <c r="C453" s="2" t="inlineStr">
        <is>
          <t>G</t>
        </is>
      </c>
      <c r="D453" s="2" t="inlineStr">
        <is>
          <t>Concrete sealer to the remaining wall height above the false ceiling (no plaster required).</t>
        </is>
      </c>
      <c r="E453" s="2" t="inlineStr">
        <is>
          <t>m²</t>
        </is>
      </c>
      <c r="F453" s="2" t="n">
        <v>129</v>
      </c>
      <c r="G453" s="2" t="n">
        <v>129</v>
      </c>
      <c r="H453" s="2" t="n">
        <v>164</v>
      </c>
      <c r="I453" s="2" t="n">
        <v>164</v>
      </c>
      <c r="J453" s="2" t="n">
        <v>199</v>
      </c>
      <c r="K453" s="2" t="n">
        <v>199</v>
      </c>
      <c r="L453" s="2" t="n">
        <v>96</v>
      </c>
      <c r="M453" s="2" t="n">
        <v>96</v>
      </c>
      <c r="N453" s="2" t="n">
        <v>0</v>
      </c>
      <c r="O453" s="2" t="n">
        <v>0</v>
      </c>
      <c r="P453" s="2" t="n">
        <v>0</v>
      </c>
      <c r="Q453" s="2" t="n">
        <v>1176</v>
      </c>
      <c r="R453" s="2" t="n">
        <v>17905</v>
      </c>
      <c r="S453" s="2" t="n"/>
      <c r="T453" s="2">
        <f>IF(OR(S453="",R453=0),"",ROUND(S453*R453,2))</f>
        <v/>
      </c>
      <c r="U453" s="2" t="inlineStr"/>
    </row>
    <row r="454">
      <c r="A454" s="2" t="inlineStr">
        <is>
          <t>J</t>
        </is>
      </c>
      <c r="B454" s="2" t="inlineStr">
        <is>
          <t>FINISHINGS</t>
        </is>
      </c>
      <c r="C454" s="2" t="inlineStr">
        <is>
          <t>G</t>
        </is>
      </c>
      <c r="D454" s="2" t="inlineStr">
        <is>
          <t>Two component chemical and water resistant  satin finish epoxy paint</t>
        </is>
      </c>
      <c r="E454" s="2" t="inlineStr">
        <is>
          <t>m²</t>
        </is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193</v>
      </c>
      <c r="O454" s="2" t="n">
        <v>0</v>
      </c>
      <c r="P454" s="2" t="n">
        <v>0</v>
      </c>
      <c r="Q454" s="2" t="n">
        <v>193</v>
      </c>
      <c r="R454" s="2" t="n">
        <v>193</v>
      </c>
      <c r="S454" s="2" t="n"/>
      <c r="T454" s="2">
        <f>IF(OR(S454="",R454=0),"",ROUND(S454*R454,2))</f>
        <v/>
      </c>
      <c r="U454" s="2" t="inlineStr"/>
    </row>
    <row r="455">
      <c r="A455" s="2" t="inlineStr">
        <is>
          <t>J</t>
        </is>
      </c>
      <c r="B455" s="2" t="inlineStr">
        <is>
          <t>FINISHINGS</t>
        </is>
      </c>
      <c r="C455" s="2" t="inlineStr">
        <is>
          <t>G</t>
        </is>
      </c>
      <c r="D455" s="2" t="inlineStr">
        <is>
          <t>To exposed concrete slab; PT-100, Fenomastic pure white paint</t>
        </is>
      </c>
      <c r="E455" s="2" t="inlineStr">
        <is>
          <t>m²</t>
        </is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99</v>
      </c>
      <c r="M455" s="2" t="n">
        <v>99</v>
      </c>
      <c r="N455" s="2" t="n">
        <v>0</v>
      </c>
      <c r="O455" s="2" t="n">
        <v>0</v>
      </c>
      <c r="P455" s="2" t="n">
        <v>0</v>
      </c>
      <c r="Q455" s="2" t="n">
        <v>198</v>
      </c>
      <c r="R455" s="2" t="n">
        <v>3663</v>
      </c>
      <c r="S455" s="2" t="n"/>
      <c r="T455" s="2">
        <f>IF(OR(S455="",R455=0),"",ROUND(S455*R455,2))</f>
        <v/>
      </c>
      <c r="U455" s="2" t="inlineStr"/>
    </row>
    <row r="456">
      <c r="A456" s="2" t="inlineStr">
        <is>
          <t>J</t>
        </is>
      </c>
      <c r="B456" s="2" t="inlineStr">
        <is>
          <t>FINISHINGS</t>
        </is>
      </c>
      <c r="C456" s="2" t="inlineStr">
        <is>
          <t>H</t>
        </is>
      </c>
      <c r="D456" s="2" t="inlineStr">
        <is>
          <t>150mm wide</t>
        </is>
      </c>
      <c r="E456" s="2" t="inlineStr">
        <is>
          <t>m</t>
        </is>
      </c>
      <c r="F456" s="2" t="n">
        <v>4</v>
      </c>
      <c r="G456" s="2" t="n">
        <v>4</v>
      </c>
      <c r="H456" s="2" t="n">
        <v>6</v>
      </c>
      <c r="I456" s="2" t="n">
        <v>6</v>
      </c>
      <c r="J456" s="2" t="n">
        <v>9</v>
      </c>
      <c r="K456" s="2" t="n">
        <v>9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38</v>
      </c>
      <c r="R456" s="2" t="n">
        <v>526</v>
      </c>
      <c r="S456" s="2" t="n"/>
      <c r="T456" s="2">
        <f>IF(OR(S456="",R456=0),"",ROUND(S456*R456,2))</f>
        <v/>
      </c>
      <c r="U456" s="2" t="inlineStr"/>
    </row>
    <row r="457">
      <c r="A457" s="2" t="inlineStr">
        <is>
          <t>J</t>
        </is>
      </c>
      <c r="B457" s="2" t="inlineStr">
        <is>
          <t>FINISHINGS</t>
        </is>
      </c>
      <c r="C457" s="2" t="inlineStr">
        <is>
          <t>H</t>
        </is>
      </c>
      <c r="D457" s="2" t="inlineStr">
        <is>
          <t>230mm wide</t>
        </is>
      </c>
      <c r="E457" s="2" t="inlineStr">
        <is>
          <t>m</t>
        </is>
      </c>
      <c r="F457" s="2" t="n">
        <v>7</v>
      </c>
      <c r="G457" s="2" t="n">
        <v>7</v>
      </c>
      <c r="H457" s="2" t="n">
        <v>9</v>
      </c>
      <c r="I457" s="2" t="n">
        <v>9</v>
      </c>
      <c r="J457" s="2" t="n">
        <v>11</v>
      </c>
      <c r="K457" s="2" t="n">
        <v>11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  <c r="Q457" s="2" t="n">
        <v>54</v>
      </c>
      <c r="R457" s="2" t="n">
        <v>786</v>
      </c>
      <c r="S457" s="2" t="n"/>
      <c r="T457" s="2">
        <f>IF(OR(S457="",R457=0),"",ROUND(S457*R457,2))</f>
        <v/>
      </c>
      <c r="U457" s="2" t="inlineStr"/>
    </row>
    <row r="458">
      <c r="A458" s="2" t="inlineStr">
        <is>
          <t>J</t>
        </is>
      </c>
      <c r="B458" s="2" t="inlineStr">
        <is>
          <t>FINISHINGS</t>
        </is>
      </c>
      <c r="C458" s="2" t="inlineStr">
        <is>
          <t>H</t>
        </is>
      </c>
      <c r="D458" s="2" t="inlineStr">
        <is>
          <t>Ref. MT-103, Brushed bronze, 100mm high, to Gym</t>
        </is>
      </c>
      <c r="E458" s="2" t="inlineStr">
        <is>
          <t>m</t>
        </is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35</v>
      </c>
      <c r="O458" s="2" t="n">
        <v>0</v>
      </c>
      <c r="P458" s="2" t="n">
        <v>0</v>
      </c>
      <c r="Q458" s="2" t="n">
        <v>35</v>
      </c>
      <c r="R458" s="2" t="n">
        <v>35</v>
      </c>
      <c r="S458" s="2" t="n"/>
      <c r="T458" s="2">
        <f>IF(OR(S458="",R458=0),"",ROUND(S458*R458,2))</f>
        <v/>
      </c>
      <c r="U458" s="2" t="inlineStr"/>
    </row>
    <row r="459">
      <c r="A459" s="2" t="inlineStr">
        <is>
          <t>J</t>
        </is>
      </c>
      <c r="B459" s="2" t="inlineStr">
        <is>
          <t>FINISHINGS</t>
        </is>
      </c>
      <c r="C459" s="2" t="inlineStr">
        <is>
          <t>H</t>
        </is>
      </c>
      <c r="D459" s="2" t="inlineStr">
        <is>
          <t>Ref. PT-101, Fenomastic wonderwall, to ID areas</t>
        </is>
      </c>
      <c r="E459" s="2" t="inlineStr">
        <is>
          <t>m²</t>
        </is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28</v>
      </c>
      <c r="O459" s="2" t="n">
        <v>0</v>
      </c>
      <c r="P459" s="2" t="n">
        <v>0</v>
      </c>
      <c r="Q459" s="2" t="n">
        <v>28</v>
      </c>
      <c r="R459" s="2" t="n">
        <v>28</v>
      </c>
      <c r="S459" s="2" t="n"/>
      <c r="T459" s="2">
        <f>IF(OR(S459="",R459=0),"",ROUND(S459*R459,2))</f>
        <v/>
      </c>
      <c r="U459" s="2" t="inlineStr"/>
    </row>
    <row r="460">
      <c r="A460" s="2" t="inlineStr">
        <is>
          <t>J</t>
        </is>
      </c>
      <c r="B460" s="2" t="inlineStr">
        <is>
          <t>FINISHINGS</t>
        </is>
      </c>
      <c r="C460" s="2" t="inlineStr">
        <is>
          <t>H</t>
        </is>
      </c>
      <c r="D460" s="2" t="inlineStr">
        <is>
          <t>To exposed concrete slab; PT-02, Paint Finish; to Pump Room</t>
        </is>
      </c>
      <c r="E460" s="2" t="inlineStr">
        <is>
          <t>m²</t>
        </is>
      </c>
      <c r="F460" s="2" t="n">
        <v>8</v>
      </c>
      <c r="G460" s="2" t="n">
        <v>8</v>
      </c>
      <c r="H460" s="2" t="n">
        <v>10</v>
      </c>
      <c r="I460" s="2" t="n">
        <v>10</v>
      </c>
      <c r="J460" s="2" t="n">
        <v>11</v>
      </c>
      <c r="K460" s="2" t="n">
        <v>11</v>
      </c>
      <c r="L460" s="2" t="n">
        <v>4</v>
      </c>
      <c r="M460" s="2" t="n">
        <v>4</v>
      </c>
      <c r="N460" s="2" t="n">
        <v>0</v>
      </c>
      <c r="O460" s="2" t="n">
        <v>0</v>
      </c>
      <c r="P460" s="2" t="n">
        <v>0</v>
      </c>
      <c r="Q460" s="2" t="n">
        <v>66</v>
      </c>
      <c r="R460" s="2" t="n">
        <v>1010</v>
      </c>
      <c r="S460" s="2" t="n"/>
      <c r="T460" s="2">
        <f>IF(OR(S460="",R460=0),"",ROUND(S460*R460,2))</f>
        <v/>
      </c>
      <c r="U460" s="2" t="inlineStr"/>
    </row>
    <row r="461">
      <c r="A461" s="2" t="inlineStr">
        <is>
          <t>J</t>
        </is>
      </c>
      <c r="B461" s="2" t="inlineStr">
        <is>
          <t>FINISHINGS</t>
        </is>
      </c>
      <c r="C461" s="2" t="inlineStr">
        <is>
          <t>J</t>
        </is>
      </c>
      <c r="D461" s="2" t="inlineStr">
        <is>
          <t>100mm wide</t>
        </is>
      </c>
      <c r="E461" s="2" t="inlineStr">
        <is>
          <t>m</t>
        </is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1</v>
      </c>
      <c r="M461" s="2" t="n">
        <v>1</v>
      </c>
      <c r="N461" s="2" t="n">
        <v>0</v>
      </c>
      <c r="O461" s="2" t="n">
        <v>0</v>
      </c>
      <c r="P461" s="2" t="n">
        <v>0</v>
      </c>
      <c r="Q461" s="2" t="n">
        <v>2</v>
      </c>
      <c r="R461" s="2" t="n">
        <v>37</v>
      </c>
      <c r="S461" s="2" t="n"/>
      <c r="T461" s="2">
        <f>IF(OR(S461="",R461=0),"",ROUND(S461*R461,2))</f>
        <v/>
      </c>
      <c r="U461" s="2" t="inlineStr"/>
    </row>
    <row r="462">
      <c r="A462" s="2" t="inlineStr">
        <is>
          <t>J</t>
        </is>
      </c>
      <c r="B462" s="2" t="inlineStr">
        <is>
          <t>FINISHINGS</t>
        </is>
      </c>
      <c r="C462" s="2" t="inlineStr">
        <is>
          <t>J</t>
        </is>
      </c>
      <c r="D462" s="2" t="inlineStr">
        <is>
          <t>140mm wide</t>
        </is>
      </c>
      <c r="E462" s="2" t="inlineStr">
        <is>
          <t>m</t>
        </is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1</v>
      </c>
      <c r="P462" s="2" t="n">
        <v>0</v>
      </c>
      <c r="Q462" s="2" t="n">
        <v>1</v>
      </c>
      <c r="R462" s="2" t="n">
        <v>1</v>
      </c>
      <c r="S462" s="2" t="n"/>
      <c r="T462" s="2">
        <f>IF(OR(S462="",R462=0),"",ROUND(S462*R462,2))</f>
        <v/>
      </c>
      <c r="U462" s="2" t="inlineStr"/>
    </row>
    <row r="463">
      <c r="A463" s="2" t="inlineStr">
        <is>
          <t>J</t>
        </is>
      </c>
      <c r="B463" s="2" t="inlineStr">
        <is>
          <t>FINISHINGS</t>
        </is>
      </c>
      <c r="C463" s="2" t="inlineStr">
        <is>
          <t>J</t>
        </is>
      </c>
      <c r="D463" s="2" t="inlineStr">
        <is>
          <t>Ref. ST-105, Stone, to niche, at service block, ID areas</t>
        </is>
      </c>
      <c r="E463" s="2" t="inlineStr">
        <is>
          <t>m²</t>
        </is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3</v>
      </c>
      <c r="O463" s="2" t="n">
        <v>0</v>
      </c>
      <c r="P463" s="2" t="n">
        <v>0</v>
      </c>
      <c r="Q463" s="2" t="n">
        <v>3</v>
      </c>
      <c r="R463" s="2" t="n">
        <v>3</v>
      </c>
      <c r="S463" s="2" t="n"/>
      <c r="T463" s="2">
        <f>IF(OR(S463="",R463=0),"",ROUND(S463*R463,2))</f>
        <v/>
      </c>
      <c r="U463" s="2" t="inlineStr"/>
    </row>
    <row r="464">
      <c r="A464" s="2" t="inlineStr">
        <is>
          <t>J</t>
        </is>
      </c>
      <c r="B464" s="2" t="inlineStr">
        <is>
          <t>FINISHINGS</t>
        </is>
      </c>
      <c r="C464" s="2" t="inlineStr">
        <is>
          <t>J</t>
        </is>
      </c>
      <c r="D464" s="2" t="inlineStr">
        <is>
          <t>Ref. PT-102, Fenomastic hygiene emulsion matt moisture, to ID areas</t>
        </is>
      </c>
      <c r="E464" s="2" t="inlineStr">
        <is>
          <t>m²</t>
        </is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265</v>
      </c>
      <c r="O464" s="2" t="n">
        <v>0</v>
      </c>
      <c r="P464" s="2" t="n">
        <v>0</v>
      </c>
      <c r="Q464" s="2" t="n">
        <v>265</v>
      </c>
      <c r="R464" s="2" t="n">
        <v>265</v>
      </c>
      <c r="S464" s="2" t="n"/>
      <c r="T464" s="2">
        <f>IF(OR(S464="",R464=0),"",ROUND(S464*R464,2))</f>
        <v/>
      </c>
      <c r="U464" s="2" t="inlineStr"/>
    </row>
    <row r="465">
      <c r="A465" s="2" t="inlineStr">
        <is>
          <t>J</t>
        </is>
      </c>
      <c r="B465" s="2" t="inlineStr">
        <is>
          <t>FINISHINGS</t>
        </is>
      </c>
      <c r="C465" s="2" t="inlineStr">
        <is>
          <t>J</t>
        </is>
      </c>
      <c r="D465" s="2" t="inlineStr">
        <is>
          <t>To cement board ceiling; CB-03, Moisture resistant paint finish, to Garbage room</t>
        </is>
      </c>
      <c r="E465" s="2" t="inlineStr">
        <is>
          <t>m²</t>
        </is>
      </c>
      <c r="F465" s="2" t="n">
        <v>3</v>
      </c>
      <c r="G465" s="2" t="n">
        <v>3</v>
      </c>
      <c r="H465" s="2" t="n">
        <v>6</v>
      </c>
      <c r="I465" s="2" t="n">
        <v>6</v>
      </c>
      <c r="J465" s="2" t="n">
        <v>9</v>
      </c>
      <c r="K465" s="2" t="n">
        <v>9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36</v>
      </c>
      <c r="R465" s="2" t="n">
        <v>489</v>
      </c>
      <c r="S465" s="2" t="n"/>
      <c r="T465" s="2">
        <f>IF(OR(S465="",R465=0),"",ROUND(S465*R465,2))</f>
        <v/>
      </c>
      <c r="U465" s="2" t="inlineStr"/>
    </row>
    <row r="466">
      <c r="A466" s="2" t="inlineStr">
        <is>
          <t>J</t>
        </is>
      </c>
      <c r="B466" s="2" t="inlineStr">
        <is>
          <t>FINISHINGS</t>
        </is>
      </c>
      <c r="C466" s="2" t="inlineStr">
        <is>
          <t>K</t>
        </is>
      </c>
      <c r="D466" s="2" t="inlineStr">
        <is>
          <t>100mm wide</t>
        </is>
      </c>
      <c r="E466" s="2" t="inlineStr">
        <is>
          <t>m</t>
        </is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7</v>
      </c>
      <c r="M466" s="2" t="n">
        <v>7</v>
      </c>
      <c r="N466" s="2" t="n">
        <v>0</v>
      </c>
      <c r="O466" s="2" t="n">
        <v>0</v>
      </c>
      <c r="P466" s="2" t="n">
        <v>0</v>
      </c>
      <c r="Q466" s="2" t="n">
        <v>14</v>
      </c>
      <c r="R466" s="2" t="n">
        <v>259</v>
      </c>
      <c r="S466" s="2" t="n"/>
      <c r="T466" s="2">
        <f>IF(OR(S466="",R466=0),"",ROUND(S466*R466,2))</f>
        <v/>
      </c>
      <c r="U466" s="2" t="inlineStr"/>
    </row>
    <row r="467">
      <c r="A467" s="2" t="inlineStr">
        <is>
          <t>J</t>
        </is>
      </c>
      <c r="B467" s="2" t="inlineStr">
        <is>
          <t>FINISHINGS</t>
        </is>
      </c>
      <c r="C467" s="2" t="inlineStr">
        <is>
          <t>K</t>
        </is>
      </c>
      <c r="D467" s="2" t="inlineStr">
        <is>
          <t>Ref. PT-103, moisture resistant anti-fungal acrylic, to BOH</t>
        </is>
      </c>
      <c r="E467" s="2" t="inlineStr">
        <is>
          <t>m²</t>
        </is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53</v>
      </c>
      <c r="O467" s="2" t="n">
        <v>0</v>
      </c>
      <c r="P467" s="2" t="n">
        <v>0</v>
      </c>
      <c r="Q467" s="2" t="n">
        <v>53</v>
      </c>
      <c r="R467" s="2" t="n">
        <v>53</v>
      </c>
      <c r="S467" s="2" t="n"/>
      <c r="T467" s="2">
        <f>IF(OR(S467="",R467=0),"",ROUND(S467*R467,2))</f>
        <v/>
      </c>
      <c r="U467" s="2" t="inlineStr"/>
    </row>
    <row r="468">
      <c r="A468" s="2" t="inlineStr">
        <is>
          <t>J</t>
        </is>
      </c>
      <c r="B468" s="2" t="inlineStr">
        <is>
          <t>FINISHINGS</t>
        </is>
      </c>
      <c r="C468" s="2" t="inlineStr">
        <is>
          <t>K</t>
        </is>
      </c>
      <c r="D468" s="2" t="inlineStr">
        <is>
          <t>Anti-fungal paint to wet areas (to concrete soffit)</t>
        </is>
      </c>
      <c r="E468" s="2" t="inlineStr">
        <is>
          <t>m²</t>
        </is>
      </c>
      <c r="F468" s="2" t="n">
        <v>105</v>
      </c>
      <c r="G468" s="2" t="n">
        <v>105</v>
      </c>
      <c r="H468" s="2" t="n">
        <v>149</v>
      </c>
      <c r="I468" s="2" t="n">
        <v>149</v>
      </c>
      <c r="J468" s="2" t="n">
        <v>193</v>
      </c>
      <c r="K468" s="2" t="n">
        <v>193</v>
      </c>
      <c r="L468" s="2" t="n">
        <v>54</v>
      </c>
      <c r="M468" s="2" t="n">
        <v>54</v>
      </c>
      <c r="N468" s="2" t="n">
        <v>71</v>
      </c>
      <c r="O468" s="2" t="n">
        <v>3</v>
      </c>
      <c r="P468" s="2" t="n">
        <v>0</v>
      </c>
      <c r="Q468" s="2" t="n">
        <v>1076</v>
      </c>
      <c r="R468" s="2" t="n">
        <v>14856</v>
      </c>
      <c r="S468" s="2" t="n"/>
      <c r="T468" s="2">
        <f>IF(OR(S468="",R468=0),"",ROUND(S468*R468,2))</f>
        <v/>
      </c>
      <c r="U468" s="2" t="inlineStr"/>
    </row>
    <row r="469">
      <c r="A469" s="2" t="inlineStr">
        <is>
          <t>J</t>
        </is>
      </c>
      <c r="B469" s="2" t="inlineStr">
        <is>
          <t>FINISHINGS</t>
        </is>
      </c>
      <c r="C469" s="2" t="inlineStr">
        <is>
          <t>L</t>
        </is>
      </c>
      <c r="D469" s="2" t="inlineStr">
        <is>
          <t>130mm wide</t>
        </is>
      </c>
      <c r="E469" s="2" t="inlineStr">
        <is>
          <t>m</t>
        </is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1</v>
      </c>
      <c r="M469" s="2" t="n">
        <v>1</v>
      </c>
      <c r="N469" s="2" t="n">
        <v>0</v>
      </c>
      <c r="O469" s="2" t="n">
        <v>0</v>
      </c>
      <c r="P469" s="2" t="n">
        <v>0</v>
      </c>
      <c r="Q469" s="2" t="n">
        <v>2</v>
      </c>
      <c r="R469" s="2" t="n">
        <v>37</v>
      </c>
      <c r="S469" s="2" t="n"/>
      <c r="T469" s="2">
        <f>IF(OR(S469="",R469=0),"",ROUND(S469*R469,2))</f>
        <v/>
      </c>
      <c r="U469" s="2" t="inlineStr"/>
    </row>
    <row r="470">
      <c r="A470" s="2" t="inlineStr">
        <is>
          <t>J</t>
        </is>
      </c>
      <c r="B470" s="2" t="inlineStr">
        <is>
          <t>FINISHINGS</t>
        </is>
      </c>
      <c r="C470" s="2" t="inlineStr">
        <is>
          <t>L</t>
        </is>
      </c>
      <c r="D470" s="2" t="inlineStr">
        <is>
          <t>Ref. PT-101, fenomastic wonderwall, to BOH</t>
        </is>
      </c>
      <c r="E470" s="2" t="inlineStr">
        <is>
          <t>m²</t>
        </is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43</v>
      </c>
      <c r="O470" s="2" t="n">
        <v>0</v>
      </c>
      <c r="P470" s="2" t="n">
        <v>0</v>
      </c>
      <c r="Q470" s="2" t="n">
        <v>43</v>
      </c>
      <c r="R470" s="2" t="n">
        <v>43</v>
      </c>
      <c r="S470" s="2" t="n"/>
      <c r="T470" s="2">
        <f>IF(OR(S470="",R470=0),"",ROUND(S470*R470,2))</f>
        <v/>
      </c>
      <c r="U470" s="2" t="inlineStr"/>
    </row>
    <row r="471">
      <c r="A471" s="2" t="inlineStr">
        <is>
          <t>J</t>
        </is>
      </c>
      <c r="B471" s="2" t="inlineStr">
        <is>
          <t>FINISHINGS</t>
        </is>
      </c>
      <c r="C471" s="2" t="inlineStr">
        <is>
          <t>L</t>
        </is>
      </c>
      <c r="D471" s="2" t="inlineStr">
        <is>
          <t>Concrete sealer to dry areas (to concrete soffit)</t>
        </is>
      </c>
      <c r="E471" s="2" t="inlineStr">
        <is>
          <t>m²</t>
        </is>
      </c>
      <c r="F471" s="2" t="n">
        <v>264</v>
      </c>
      <c r="G471" s="2" t="n">
        <v>264</v>
      </c>
      <c r="H471" s="2" t="n">
        <v>392</v>
      </c>
      <c r="I471" s="2" t="n">
        <v>392</v>
      </c>
      <c r="J471" s="2" t="n">
        <v>520</v>
      </c>
      <c r="K471" s="2" t="n">
        <v>520</v>
      </c>
      <c r="L471" s="2" t="n">
        <v>103</v>
      </c>
      <c r="M471" s="2" t="n">
        <v>103</v>
      </c>
      <c r="N471" s="2" t="n">
        <v>0</v>
      </c>
      <c r="O471" s="2" t="n">
        <v>0</v>
      </c>
      <c r="P471" s="2" t="n">
        <v>0</v>
      </c>
      <c r="Q471" s="2" t="n">
        <v>2558</v>
      </c>
      <c r="R471" s="2" t="n">
        <v>37187</v>
      </c>
      <c r="S471" s="2" t="n"/>
      <c r="T471" s="2">
        <f>IF(OR(S471="",R471=0),"",ROUND(S471*R471,2))</f>
        <v/>
      </c>
      <c r="U471" s="2" t="inlineStr"/>
    </row>
    <row r="472">
      <c r="A472" s="2" t="inlineStr">
        <is>
          <t>J</t>
        </is>
      </c>
      <c r="B472" s="2" t="inlineStr">
        <is>
          <t>FINISHINGS</t>
        </is>
      </c>
      <c r="C472" s="2" t="inlineStr">
        <is>
          <t>M</t>
        </is>
      </c>
      <c r="D472" s="2" t="inlineStr">
        <is>
          <t>165mm wide</t>
        </is>
      </c>
      <c r="E472" s="2" t="inlineStr">
        <is>
          <t>m</t>
        </is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7</v>
      </c>
      <c r="M472" s="2" t="n">
        <v>7</v>
      </c>
      <c r="N472" s="2" t="n">
        <v>0</v>
      </c>
      <c r="O472" s="2" t="n">
        <v>0</v>
      </c>
      <c r="P472" s="2" t="n">
        <v>0</v>
      </c>
      <c r="Q472" s="2" t="n">
        <v>14</v>
      </c>
      <c r="R472" s="2" t="n">
        <v>259</v>
      </c>
      <c r="S472" s="2" t="n"/>
      <c r="T472" s="2">
        <f>IF(OR(S472="",R472=0),"",ROUND(S472*R472,2))</f>
        <v/>
      </c>
      <c r="U472" s="2" t="inlineStr"/>
    </row>
    <row r="473">
      <c r="A473" s="2" t="inlineStr">
        <is>
          <t>J</t>
        </is>
      </c>
      <c r="B473" s="2" t="inlineStr">
        <is>
          <t>FINISHINGS</t>
        </is>
      </c>
      <c r="C473" s="2" t="inlineStr">
        <is>
          <t>M</t>
        </is>
      </c>
      <c r="D473" s="2" t="inlineStr">
        <is>
          <t>Ref. TL-100.A, Resincrete White Fango, 9mm thick, 100mm high</t>
        </is>
      </c>
      <c r="E473" s="2" t="inlineStr">
        <is>
          <t>m</t>
        </is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9</v>
      </c>
      <c r="M473" s="2" t="n">
        <v>9</v>
      </c>
      <c r="N473" s="2" t="n">
        <v>0</v>
      </c>
      <c r="O473" s="2" t="n">
        <v>0</v>
      </c>
      <c r="P473" s="2" t="n">
        <v>0</v>
      </c>
      <c r="Q473" s="2" t="n">
        <v>18</v>
      </c>
      <c r="R473" s="2" t="n">
        <v>333</v>
      </c>
      <c r="S473" s="2" t="n"/>
      <c r="T473" s="2">
        <f>IF(OR(S473="",R473=0),"",ROUND(S473*R473,2))</f>
        <v/>
      </c>
      <c r="U473" s="2" t="inlineStr"/>
    </row>
    <row r="474">
      <c r="A474" s="2" t="inlineStr">
        <is>
          <t>J</t>
        </is>
      </c>
      <c r="B474" s="2" t="inlineStr">
        <is>
          <t>FINISHINGS</t>
        </is>
      </c>
      <c r="C474" s="2" t="inlineStr">
        <is>
          <t>M</t>
        </is>
      </c>
      <c r="D474" s="2" t="inlineStr">
        <is>
          <t>Ref. PT-103, Fenomastic wonderwall paint, to Community Hall</t>
        </is>
      </c>
      <c r="E474" s="2" t="inlineStr">
        <is>
          <t>m²</t>
        </is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30</v>
      </c>
      <c r="O474" s="2" t="n">
        <v>0</v>
      </c>
      <c r="P474" s="2" t="n">
        <v>0</v>
      </c>
      <c r="Q474" s="2" t="n">
        <v>30</v>
      </c>
      <c r="R474" s="2" t="n">
        <v>30</v>
      </c>
      <c r="S474" s="2" t="n"/>
      <c r="T474" s="2">
        <f>IF(OR(S474="",R474=0),"",ROUND(S474*R474,2))</f>
        <v/>
      </c>
      <c r="U474" s="2" t="inlineStr"/>
    </row>
    <row r="475">
      <c r="A475" s="2" t="inlineStr">
        <is>
          <t>J</t>
        </is>
      </c>
      <c r="B475" s="2" t="inlineStr">
        <is>
          <t>FINISHINGS</t>
        </is>
      </c>
      <c r="C475" s="2" t="inlineStr">
        <is>
          <t>M</t>
        </is>
      </c>
      <c r="D475" s="2" t="inlineStr">
        <is>
          <t>To suspended ceiling, Ref. GC-101, white paint, to Gym</t>
        </is>
      </c>
      <c r="E475" s="2" t="inlineStr">
        <is>
          <t>m²</t>
        </is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276</v>
      </c>
      <c r="O475" s="2" t="n">
        <v>0</v>
      </c>
      <c r="P475" s="2" t="n">
        <v>0</v>
      </c>
      <c r="Q475" s="2" t="n">
        <v>276</v>
      </c>
      <c r="R475" s="2" t="n">
        <v>276</v>
      </c>
      <c r="S475" s="2" t="n"/>
      <c r="T475" s="2">
        <f>IF(OR(S475="",R475=0),"",ROUND(S475*R475,2))</f>
        <v/>
      </c>
      <c r="U475" s="2" t="inlineStr"/>
    </row>
    <row r="476">
      <c r="A476" s="2" t="inlineStr">
        <is>
          <t>J</t>
        </is>
      </c>
      <c r="B476" s="2" t="inlineStr">
        <is>
          <t>FINISHINGS</t>
        </is>
      </c>
      <c r="C476" s="2" t="inlineStr">
        <is>
          <t>N</t>
        </is>
      </c>
      <c r="D476" s="2" t="inlineStr">
        <is>
          <t>130mm wide</t>
        </is>
      </c>
      <c r="E476" s="2" t="inlineStr">
        <is>
          <t>m</t>
        </is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3</v>
      </c>
      <c r="M476" s="2" t="n">
        <v>3</v>
      </c>
      <c r="N476" s="2" t="n">
        <v>0</v>
      </c>
      <c r="O476" s="2" t="n">
        <v>0</v>
      </c>
      <c r="P476" s="2" t="n">
        <v>0</v>
      </c>
      <c r="Q476" s="2" t="n">
        <v>6</v>
      </c>
      <c r="R476" s="2" t="n">
        <v>111</v>
      </c>
      <c r="S476" s="2" t="n"/>
      <c r="T476" s="2">
        <f>IF(OR(S476="",R476=0),"",ROUND(S476*R476,2))</f>
        <v/>
      </c>
      <c r="U476" s="2" t="inlineStr"/>
    </row>
    <row r="477">
      <c r="A477" s="2" t="inlineStr">
        <is>
          <t>J</t>
        </is>
      </c>
      <c r="B477" s="2" t="inlineStr">
        <is>
          <t>FINISHINGS</t>
        </is>
      </c>
      <c r="C477" s="2" t="inlineStr">
        <is>
          <t>N</t>
        </is>
      </c>
      <c r="D477" s="2" t="inlineStr">
        <is>
          <t>Ref. TL-101, Resincrete White Fango, size 600x600x9mm</t>
        </is>
      </c>
      <c r="E477" s="2" t="inlineStr">
        <is>
          <t>m²</t>
        </is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11</v>
      </c>
      <c r="M477" s="2" t="n">
        <v>11</v>
      </c>
      <c r="N477" s="2" t="n">
        <v>0</v>
      </c>
      <c r="O477" s="2" t="n">
        <v>0</v>
      </c>
      <c r="P477" s="2" t="n">
        <v>0</v>
      </c>
      <c r="Q477" s="2" t="n">
        <v>22</v>
      </c>
      <c r="R477" s="2" t="n">
        <v>407</v>
      </c>
      <c r="S477" s="2" t="n"/>
      <c r="T477" s="2">
        <f>IF(OR(S477="",R477=0),"",ROUND(S477*R477,2))</f>
        <v/>
      </c>
      <c r="U477" s="2" t="inlineStr"/>
    </row>
    <row r="478">
      <c r="A478" s="2" t="inlineStr">
        <is>
          <t>J</t>
        </is>
      </c>
      <c r="B478" s="2" t="inlineStr">
        <is>
          <t>FINISHINGS</t>
        </is>
      </c>
      <c r="C478" s="2" t="inlineStr">
        <is>
          <t>N</t>
        </is>
      </c>
      <c r="D478" s="2" t="inlineStr">
        <is>
          <t>Ref. WD-101, MDF wood cladding with acrylic lacquered paint, to Gym and Community Hall</t>
        </is>
      </c>
      <c r="E478" s="2" t="inlineStr">
        <is>
          <t>m²</t>
        </is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154</v>
      </c>
      <c r="O478" s="2" t="n">
        <v>0</v>
      </c>
      <c r="P478" s="2" t="n">
        <v>0</v>
      </c>
      <c r="Q478" s="2" t="n">
        <v>154</v>
      </c>
      <c r="R478" s="2" t="n">
        <v>154</v>
      </c>
      <c r="S478" s="2" t="n"/>
      <c r="T478" s="2">
        <f>IF(OR(S478="",R478=0),"",ROUND(S478*R478,2))</f>
        <v/>
      </c>
      <c r="U478" s="2" t="inlineStr"/>
    </row>
    <row r="479">
      <c r="A479" s="2" t="inlineStr">
        <is>
          <t>J</t>
        </is>
      </c>
      <c r="B479" s="2" t="inlineStr">
        <is>
          <t>FINISHINGS</t>
        </is>
      </c>
      <c r="C479" s="2" t="inlineStr">
        <is>
          <t>N</t>
        </is>
      </c>
      <c r="D479" s="2" t="inlineStr">
        <is>
          <t>To gypsum board ceiling; CB-101, moisture resistant acrylic, to BOH area emulsion (anti-fungal paint), at service block</t>
        </is>
      </c>
      <c r="E479" s="2" t="inlineStr">
        <is>
          <t>m²</t>
        </is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5</v>
      </c>
      <c r="O479" s="2" t="n">
        <v>0</v>
      </c>
      <c r="P479" s="2" t="n">
        <v>0</v>
      </c>
      <c r="Q479" s="2" t="n">
        <v>5</v>
      </c>
      <c r="R479" s="2" t="n">
        <v>5</v>
      </c>
      <c r="S479" s="2" t="n"/>
      <c r="T479" s="2">
        <f>IF(OR(S479="",R479=0),"",ROUND(S479*R479,2))</f>
        <v/>
      </c>
      <c r="U479" s="2" t="inlineStr"/>
    </row>
    <row r="480">
      <c r="A480" s="2" t="inlineStr">
        <is>
          <t>J</t>
        </is>
      </c>
      <c r="B480" s="2" t="inlineStr">
        <is>
          <t>FINISHINGS</t>
        </is>
      </c>
      <c r="C480" s="2" t="inlineStr">
        <is>
          <t>P</t>
        </is>
      </c>
      <c r="D480" s="2" t="inlineStr">
        <is>
          <t>200mm wide</t>
        </is>
      </c>
      <c r="E480" s="2" t="inlineStr">
        <is>
          <t>m</t>
        </is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4</v>
      </c>
      <c r="M480" s="2" t="n">
        <v>4</v>
      </c>
      <c r="N480" s="2" t="n">
        <v>0</v>
      </c>
      <c r="O480" s="2" t="n">
        <v>0</v>
      </c>
      <c r="P480" s="2" t="n">
        <v>0</v>
      </c>
      <c r="Q480" s="2" t="n">
        <v>8</v>
      </c>
      <c r="R480" s="2" t="n">
        <v>148</v>
      </c>
      <c r="S480" s="2" t="n"/>
      <c r="T480" s="2">
        <f>IF(OR(S480="",R480=0),"",ROUND(S480*R480,2))</f>
        <v/>
      </c>
      <c r="U480" s="2" t="inlineStr"/>
    </row>
    <row r="481">
      <c r="A481" s="2" t="inlineStr">
        <is>
          <t>J</t>
        </is>
      </c>
      <c r="B481" s="2" t="inlineStr">
        <is>
          <t>FINISHINGS</t>
        </is>
      </c>
      <c r="C481" s="2" t="inlineStr">
        <is>
          <t>P</t>
        </is>
      </c>
      <c r="D481" s="2" t="inlineStr">
        <is>
          <t>Ref. WD-100, Wood Look Laminate, To Kitchen Area</t>
        </is>
      </c>
      <c r="E481" s="2" t="inlineStr">
        <is>
          <t>m²</t>
        </is>
      </c>
      <c r="F481" s="2" t="n">
        <v>7</v>
      </c>
      <c r="G481" s="2" t="n">
        <v>7</v>
      </c>
      <c r="H481" s="2" t="n">
        <v>7</v>
      </c>
      <c r="I481" s="2" t="n">
        <v>7</v>
      </c>
      <c r="J481" s="2" t="n">
        <v>7</v>
      </c>
      <c r="K481" s="2" t="n">
        <v>7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42</v>
      </c>
      <c r="R481" s="2" t="n">
        <v>644</v>
      </c>
      <c r="S481" s="2" t="n"/>
      <c r="T481" s="2">
        <f>IF(OR(S481="",R481=0),"",ROUND(S481*R481,2))</f>
        <v/>
      </c>
      <c r="U481" s="2" t="inlineStr"/>
    </row>
    <row r="482">
      <c r="A482" s="2" t="inlineStr">
        <is>
          <t>J</t>
        </is>
      </c>
      <c r="B482" s="2" t="inlineStr">
        <is>
          <t>FINISHINGS</t>
        </is>
      </c>
      <c r="C482" s="2" t="inlineStr">
        <is>
          <t>P</t>
        </is>
      </c>
      <c r="D482" s="2" t="inlineStr">
        <is>
          <t>To gypsum board ceiling; GC-102, moisture resistant, to ID area, at service block</t>
        </is>
      </c>
      <c r="E482" s="2" t="inlineStr">
        <is>
          <t>m²</t>
        </is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80</v>
      </c>
      <c r="O482" s="2" t="n">
        <v>0</v>
      </c>
      <c r="P482" s="2" t="n">
        <v>0</v>
      </c>
      <c r="Q482" s="2" t="n">
        <v>80</v>
      </c>
      <c r="R482" s="2" t="n">
        <v>80</v>
      </c>
      <c r="S482" s="2" t="n"/>
      <c r="T482" s="2">
        <f>IF(OR(S482="",R482=0),"",ROUND(S482*R482,2))</f>
        <v/>
      </c>
      <c r="U482" s="2" t="inlineStr"/>
    </row>
    <row r="483">
      <c r="A483" s="2" t="inlineStr">
        <is>
          <t>J</t>
        </is>
      </c>
      <c r="B483" s="2" t="inlineStr">
        <is>
          <t>FINISHINGS</t>
        </is>
      </c>
      <c r="C483" s="2" t="inlineStr">
        <is>
          <t>Q</t>
        </is>
      </c>
      <c r="D483" s="2" t="inlineStr">
        <is>
          <t>230mm wide</t>
        </is>
      </c>
      <c r="E483" s="2" t="inlineStr">
        <is>
          <t>m</t>
        </is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2</v>
      </c>
      <c r="M483" s="2" t="n">
        <v>2</v>
      </c>
      <c r="N483" s="2" t="n">
        <v>0</v>
      </c>
      <c r="O483" s="2" t="n">
        <v>0</v>
      </c>
      <c r="P483" s="2" t="n">
        <v>0</v>
      </c>
      <c r="Q483" s="2" t="n">
        <v>4</v>
      </c>
      <c r="R483" s="2" t="n">
        <v>74</v>
      </c>
      <c r="S483" s="2" t="n"/>
      <c r="T483" s="2">
        <f>IF(OR(S483="",R483=0),"",ROUND(S483*R483,2))</f>
        <v/>
      </c>
      <c r="U483" s="2" t="inlineStr"/>
    </row>
    <row r="484">
      <c r="A484" s="2" t="inlineStr">
        <is>
          <t>J</t>
        </is>
      </c>
      <c r="B484" s="2" t="inlineStr">
        <is>
          <t>FINISHINGS</t>
        </is>
      </c>
      <c r="C484" s="2" t="inlineStr">
        <is>
          <t>Q</t>
        </is>
      </c>
      <c r="D484" s="2" t="inlineStr">
        <is>
          <t>Wooden Laminate finish to Lift cabin</t>
        </is>
      </c>
      <c r="E484" s="2" t="inlineStr">
        <is>
          <t>m²</t>
        </is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5</v>
      </c>
      <c r="M484" s="2" t="n">
        <v>5</v>
      </c>
      <c r="N484" s="2" t="n">
        <v>0</v>
      </c>
      <c r="O484" s="2" t="n">
        <v>0</v>
      </c>
      <c r="P484" s="2" t="n">
        <v>0</v>
      </c>
      <c r="Q484" s="2" t="n">
        <v>10</v>
      </c>
      <c r="R484" s="2" t="n">
        <v>185</v>
      </c>
      <c r="S484" s="2" t="n"/>
      <c r="T484" s="2">
        <f>IF(OR(S484="",R484=0),"",ROUND(S484*R484,2))</f>
        <v/>
      </c>
      <c r="U484" s="2" t="inlineStr"/>
    </row>
    <row r="485">
      <c r="A485" s="2" t="inlineStr">
        <is>
          <t>J</t>
        </is>
      </c>
      <c r="B485" s="2" t="inlineStr">
        <is>
          <t>FINISHINGS</t>
        </is>
      </c>
      <c r="C485" s="2" t="inlineStr">
        <is>
          <t>Q</t>
        </is>
      </c>
      <c r="D485" s="2" t="inlineStr">
        <is>
          <t>Ref. PT-101, matt finish emulsion (ral 9010), to plastered ceiling, to BOH, at service block</t>
        </is>
      </c>
      <c r="E485" s="2" t="inlineStr">
        <is>
          <t>m²</t>
        </is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38</v>
      </c>
      <c r="O485" s="2" t="n">
        <v>0</v>
      </c>
      <c r="P485" s="2" t="n">
        <v>0</v>
      </c>
      <c r="Q485" s="2" t="n">
        <v>38</v>
      </c>
      <c r="R485" s="2" t="n">
        <v>38</v>
      </c>
      <c r="S485" s="2" t="n"/>
      <c r="T485" s="2">
        <f>IF(OR(S485="",R485=0),"",ROUND(S485*R485,2))</f>
        <v/>
      </c>
      <c r="U485" s="2" t="inlineStr"/>
    </row>
    <row r="486">
      <c r="A486" s="2" t="inlineStr">
        <is>
          <t>J</t>
        </is>
      </c>
      <c r="B486" s="2" t="inlineStr">
        <is>
          <t>FINISHINGS</t>
        </is>
      </c>
      <c r="C486" s="2" t="inlineStr">
        <is>
          <t>R</t>
        </is>
      </c>
      <c r="D486" s="2" t="inlineStr">
        <is>
          <t>280mm wide</t>
        </is>
      </c>
      <c r="E486" s="2" t="inlineStr">
        <is>
          <t>m</t>
        </is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2</v>
      </c>
      <c r="M486" s="2" t="n">
        <v>2</v>
      </c>
      <c r="N486" s="2" t="n">
        <v>0</v>
      </c>
      <c r="O486" s="2" t="n">
        <v>0</v>
      </c>
      <c r="P486" s="2" t="n">
        <v>0</v>
      </c>
      <c r="Q486" s="2" t="n">
        <v>4</v>
      </c>
      <c r="R486" s="2" t="n">
        <v>74</v>
      </c>
      <c r="S486" s="2" t="n"/>
      <c r="T486" s="2">
        <f>IF(OR(S486="",R486=0),"",ROUND(S486*R486,2))</f>
        <v/>
      </c>
      <c r="U486" s="2" t="inlineStr"/>
    </row>
    <row r="487">
      <c r="A487" s="2" t="inlineStr">
        <is>
          <t>J</t>
        </is>
      </c>
      <c r="B487" s="2" t="inlineStr">
        <is>
          <t>FINISHINGS</t>
        </is>
      </c>
      <c r="C487" s="2" t="inlineStr">
        <is>
          <t>R</t>
        </is>
      </c>
      <c r="D487" s="2" t="inlineStr">
        <is>
          <t>Ref. TL-101, 600x100mm Porcelain tile skirting  as per specifications (GLOCAL-GC 02 SP PERFECT)</t>
        </is>
      </c>
      <c r="E487" s="2" t="inlineStr">
        <is>
          <t>m</t>
        </is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9</v>
      </c>
      <c r="P487" s="2" t="n">
        <v>0</v>
      </c>
      <c r="Q487" s="2" t="n">
        <v>9</v>
      </c>
      <c r="R487" s="2" t="n">
        <v>9</v>
      </c>
      <c r="S487" s="2" t="n"/>
      <c r="T487" s="2">
        <f>IF(OR(S487="",R487=0),"",ROUND(S487*R487,2))</f>
        <v/>
      </c>
      <c r="U487" s="2" t="inlineStr"/>
    </row>
    <row r="488">
      <c r="A488" s="2" t="inlineStr">
        <is>
          <t>J</t>
        </is>
      </c>
      <c r="B488" s="2" t="inlineStr">
        <is>
          <t>FINISHINGS</t>
        </is>
      </c>
      <c r="C488" s="2" t="inlineStr">
        <is>
          <t>R</t>
        </is>
      </c>
      <c r="D488" s="2" t="inlineStr">
        <is>
          <t>Stair Copping, size 120mm wide</t>
        </is>
      </c>
      <c r="E488" s="2" t="inlineStr">
        <is>
          <t>m</t>
        </is>
      </c>
      <c r="F488" s="2" t="n">
        <v>2</v>
      </c>
      <c r="G488" s="2" t="n">
        <v>2</v>
      </c>
      <c r="H488" s="2" t="n">
        <v>2</v>
      </c>
      <c r="I488" s="2" t="n">
        <v>2</v>
      </c>
      <c r="J488" s="2" t="n">
        <v>2</v>
      </c>
      <c r="K488" s="2" t="n">
        <v>2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12</v>
      </c>
      <c r="R488" s="2" t="n">
        <v>184</v>
      </c>
      <c r="S488" s="2" t="n"/>
      <c r="T488" s="2">
        <f>IF(OR(S488="",R488=0),"",ROUND(S488*R488,2))</f>
        <v/>
      </c>
      <c r="U488" s="2" t="inlineStr"/>
    </row>
    <row r="489">
      <c r="A489" s="2" t="inlineStr">
        <is>
          <t>J</t>
        </is>
      </c>
      <c r="B489" s="2" t="inlineStr">
        <is>
          <t>FINISHINGS</t>
        </is>
      </c>
      <c r="C489" s="2" t="inlineStr">
        <is>
          <t>R</t>
        </is>
      </c>
      <c r="D489" s="2" t="inlineStr">
        <is>
          <t>Ref. PT-103, moisture resistant anti-fungal acrylic emulsion (ral 9010), to plaster ceiling, to BOH, at service block</t>
        </is>
      </c>
      <c r="E489" s="2" t="inlineStr">
        <is>
          <t>m²</t>
        </is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142</v>
      </c>
      <c r="O489" s="2" t="n">
        <v>0</v>
      </c>
      <c r="P489" s="2" t="n">
        <v>0</v>
      </c>
      <c r="Q489" s="2" t="n">
        <v>142</v>
      </c>
      <c r="R489" s="2" t="n">
        <v>142</v>
      </c>
      <c r="S489" s="2" t="n"/>
      <c r="T489" s="2">
        <f>IF(OR(S489="",R489=0),"",ROUND(S489*R489,2))</f>
        <v/>
      </c>
      <c r="U489" s="2" t="inlineStr"/>
    </row>
    <row r="490">
      <c r="A490" s="2" t="inlineStr">
        <is>
          <t>J</t>
        </is>
      </c>
      <c r="B490" s="2" t="inlineStr">
        <is>
          <t>FINISHINGS</t>
        </is>
      </c>
      <c r="C490" s="2" t="inlineStr">
        <is>
          <t>S</t>
        </is>
      </c>
      <c r="D490" s="2" t="inlineStr">
        <is>
          <t>300mm wide</t>
        </is>
      </c>
      <c r="E490" s="2" t="inlineStr">
        <is>
          <t>m</t>
        </is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1</v>
      </c>
      <c r="M490" s="2" t="n">
        <v>1</v>
      </c>
      <c r="N490" s="2" t="n">
        <v>0</v>
      </c>
      <c r="O490" s="2" t="n">
        <v>0</v>
      </c>
      <c r="P490" s="2" t="n">
        <v>0</v>
      </c>
      <c r="Q490" s="2" t="n">
        <v>2</v>
      </c>
      <c r="R490" s="2" t="n">
        <v>37</v>
      </c>
      <c r="S490" s="2" t="n"/>
      <c r="T490" s="2">
        <f>IF(OR(S490="",R490=0),"",ROUND(S490*R490,2))</f>
        <v/>
      </c>
      <c r="U490" s="2" t="inlineStr"/>
    </row>
    <row r="491">
      <c r="A491" s="2" t="inlineStr">
        <is>
          <t>J</t>
        </is>
      </c>
      <c r="B491" s="2" t="inlineStr">
        <is>
          <t>FINISHINGS</t>
        </is>
      </c>
      <c r="C491" s="2" t="inlineStr">
        <is>
          <t>S</t>
        </is>
      </c>
      <c r="D491" s="2" t="inlineStr">
        <is>
          <t>Ref. TL-105, 300x100mm Porcelain tile skirting  (GLOCAL-GC 02 SP PERFECT)</t>
        </is>
      </c>
      <c r="E491" s="2" t="inlineStr">
        <is>
          <t>m</t>
        </is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3</v>
      </c>
      <c r="P491" s="2" t="n">
        <v>0</v>
      </c>
      <c r="Q491" s="2" t="n">
        <v>3</v>
      </c>
      <c r="R491" s="2" t="n">
        <v>3</v>
      </c>
      <c r="S491" s="2" t="n"/>
      <c r="T491" s="2">
        <f>IF(OR(S491="",R491=0),"",ROUND(S491*R491,2))</f>
        <v/>
      </c>
      <c r="U491" s="2" t="inlineStr"/>
    </row>
    <row r="492">
      <c r="A492" s="2" t="inlineStr">
        <is>
          <t>J</t>
        </is>
      </c>
      <c r="B492" s="2" t="inlineStr">
        <is>
          <t>FINISHINGS</t>
        </is>
      </c>
      <c r="C492" s="2" t="inlineStr">
        <is>
          <t>S</t>
        </is>
      </c>
      <c r="D492" s="2" t="inlineStr">
        <is>
          <t>Stair Copping, size 150mm wide</t>
        </is>
      </c>
      <c r="E492" s="2" t="inlineStr">
        <is>
          <t>m</t>
        </is>
      </c>
      <c r="F492" s="2" t="n">
        <v>7</v>
      </c>
      <c r="G492" s="2" t="n">
        <v>7</v>
      </c>
      <c r="H492" s="2" t="n">
        <v>14</v>
      </c>
      <c r="I492" s="2" t="n">
        <v>14</v>
      </c>
      <c r="J492" s="2" t="n">
        <v>22</v>
      </c>
      <c r="K492" s="2" t="n">
        <v>22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  <c r="Q492" s="2" t="n">
        <v>86</v>
      </c>
      <c r="R492" s="2" t="n">
        <v>1157</v>
      </c>
      <c r="S492" s="2" t="n"/>
      <c r="T492" s="2">
        <f>IF(OR(S492="",R492=0),"",ROUND(S492*R492,2))</f>
        <v/>
      </c>
      <c r="U492" s="2" t="inlineStr"/>
    </row>
    <row r="493">
      <c r="A493" s="2" t="inlineStr">
        <is>
          <t>J</t>
        </is>
      </c>
      <c r="B493" s="2" t="inlineStr">
        <is>
          <t>FINISHINGS</t>
        </is>
      </c>
      <c r="C493" s="2" t="inlineStr">
        <is>
          <t>S</t>
        </is>
      </c>
      <c r="D493" s="2" t="inlineStr">
        <is>
          <t>To gypsum board ceiling; GC-101 - Fenomastic hygiene emulsion paint</t>
        </is>
      </c>
      <c r="E493" s="2" t="inlineStr">
        <is>
          <t>m²</t>
        </is>
      </c>
      <c r="F493" s="2" t="n">
        <v>0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54</v>
      </c>
      <c r="M493" s="2" t="n">
        <v>54</v>
      </c>
      <c r="N493" s="2" t="n">
        <v>0</v>
      </c>
      <c r="O493" s="2" t="n">
        <v>0</v>
      </c>
      <c r="P493" s="2" t="n">
        <v>0</v>
      </c>
      <c r="Q493" s="2" t="n">
        <v>108</v>
      </c>
      <c r="R493" s="2" t="n">
        <v>1998</v>
      </c>
      <c r="S493" s="2" t="n"/>
      <c r="T493" s="2">
        <f>IF(OR(S493="",R493=0),"",ROUND(S493*R493,2))</f>
        <v/>
      </c>
      <c r="U493" s="2" t="inlineStr"/>
    </row>
    <row r="494">
      <c r="A494" s="2" t="inlineStr">
        <is>
          <t>J</t>
        </is>
      </c>
      <c r="B494" s="2" t="inlineStr">
        <is>
          <t>FINISHINGS</t>
        </is>
      </c>
      <c r="C494" s="2" t="inlineStr">
        <is>
          <t>T</t>
        </is>
      </c>
      <c r="D494" s="2" t="inlineStr">
        <is>
          <t>330mm wide</t>
        </is>
      </c>
      <c r="E494" s="2" t="inlineStr">
        <is>
          <t>m</t>
        </is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1</v>
      </c>
      <c r="M494" s="2" t="n">
        <v>1</v>
      </c>
      <c r="N494" s="2" t="n">
        <v>0</v>
      </c>
      <c r="O494" s="2" t="n">
        <v>0</v>
      </c>
      <c r="P494" s="2" t="n">
        <v>0</v>
      </c>
      <c r="Q494" s="2" t="n">
        <v>2</v>
      </c>
      <c r="R494" s="2" t="n">
        <v>37</v>
      </c>
      <c r="S494" s="2" t="n"/>
      <c r="T494" s="2">
        <f>IF(OR(S494="",R494=0),"",ROUND(S494*R494,2))</f>
        <v/>
      </c>
      <c r="U494" s="2" t="inlineStr"/>
    </row>
    <row r="495">
      <c r="A495" s="2" t="inlineStr">
        <is>
          <t>J</t>
        </is>
      </c>
      <c r="B495" s="2" t="inlineStr">
        <is>
          <t>FINISHINGS</t>
        </is>
      </c>
      <c r="C495" s="2" t="inlineStr">
        <is>
          <t>T</t>
        </is>
      </c>
      <c r="D495" s="2" t="inlineStr">
        <is>
          <t>Two component solvent free pigmented high build epoxy system suitable for vertical applications, 100mm high, To Pump Room / MDB Room</t>
        </is>
      </c>
      <c r="E495" s="2" t="inlineStr">
        <is>
          <t>m</t>
        </is>
      </c>
      <c r="F495" s="2" t="n">
        <v>21</v>
      </c>
      <c r="G495" s="2" t="n">
        <v>21</v>
      </c>
      <c r="H495" s="2" t="n">
        <v>26</v>
      </c>
      <c r="I495" s="2" t="n">
        <v>26</v>
      </c>
      <c r="J495" s="2" t="n">
        <v>31</v>
      </c>
      <c r="K495" s="2" t="n">
        <v>31</v>
      </c>
      <c r="L495" s="2" t="n">
        <v>11</v>
      </c>
      <c r="M495" s="2" t="n">
        <v>11</v>
      </c>
      <c r="N495" s="2" t="n">
        <v>0</v>
      </c>
      <c r="O495" s="2" t="n">
        <v>0</v>
      </c>
      <c r="P495" s="2" t="n">
        <v>0</v>
      </c>
      <c r="Q495" s="2" t="n">
        <v>178</v>
      </c>
      <c r="R495" s="2" t="n">
        <v>2694</v>
      </c>
      <c r="S495" s="2" t="n"/>
      <c r="T495" s="2">
        <f>IF(OR(S495="",R495=0),"",ROUND(S495*R495,2))</f>
        <v/>
      </c>
      <c r="U495" s="2" t="inlineStr"/>
    </row>
    <row r="496">
      <c r="A496" s="2" t="inlineStr">
        <is>
          <t>J</t>
        </is>
      </c>
      <c r="B496" s="2" t="inlineStr">
        <is>
          <t>FINISHINGS</t>
        </is>
      </c>
      <c r="C496" s="2" t="inlineStr">
        <is>
          <t>T</t>
        </is>
      </c>
      <c r="D496" s="2" t="inlineStr">
        <is>
          <t>Stair Copping, size 310mm wide</t>
        </is>
      </c>
      <c r="E496" s="2" t="inlineStr">
        <is>
          <t>m</t>
        </is>
      </c>
      <c r="F496" s="2" t="n">
        <v>4</v>
      </c>
      <c r="G496" s="2" t="n">
        <v>4</v>
      </c>
      <c r="H496" s="2" t="n">
        <v>4</v>
      </c>
      <c r="I496" s="2" t="n">
        <v>4</v>
      </c>
      <c r="J496" s="2" t="n">
        <v>4</v>
      </c>
      <c r="K496" s="2" t="n">
        <v>4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0</v>
      </c>
      <c r="Q496" s="2" t="n">
        <v>24</v>
      </c>
      <c r="R496" s="2" t="n">
        <v>368</v>
      </c>
      <c r="S496" s="2" t="n"/>
      <c r="T496" s="2">
        <f>IF(OR(S496="",R496=0),"",ROUND(S496*R496,2))</f>
        <v/>
      </c>
      <c r="U496" s="2" t="inlineStr"/>
    </row>
    <row r="497">
      <c r="A497" s="2" t="inlineStr">
        <is>
          <t>J</t>
        </is>
      </c>
      <c r="B497" s="2" t="inlineStr">
        <is>
          <t>FINISHINGS</t>
        </is>
      </c>
      <c r="C497" s="2" t="inlineStr">
        <is>
          <t>T</t>
        </is>
      </c>
      <c r="D497" s="2" t="inlineStr">
        <is>
          <t>To gypsum board ceiling; GC-101 (bulkheads) - Fenomastic hygiene emulsion paint</t>
        </is>
      </c>
      <c r="E497" s="2" t="inlineStr">
        <is>
          <t>m²</t>
        </is>
      </c>
      <c r="F497" s="2" t="n">
        <v>0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1</v>
      </c>
      <c r="M497" s="2" t="n">
        <v>1</v>
      </c>
      <c r="N497" s="2" t="n">
        <v>0</v>
      </c>
      <c r="O497" s="2" t="n">
        <v>0</v>
      </c>
      <c r="P497" s="2" t="n">
        <v>0</v>
      </c>
      <c r="Q497" s="2" t="n">
        <v>2</v>
      </c>
      <c r="R497" s="2" t="n">
        <v>37</v>
      </c>
      <c r="S497" s="2" t="n"/>
      <c r="T497" s="2">
        <f>IF(OR(S497="",R497=0),"",ROUND(S497*R497,2))</f>
        <v/>
      </c>
      <c r="U497" s="2" t="inlineStr"/>
    </row>
    <row r="498">
      <c r="A498" s="2" t="inlineStr">
        <is>
          <t>J</t>
        </is>
      </c>
      <c r="B498" s="2" t="inlineStr">
        <is>
          <t>FINISHINGS</t>
        </is>
      </c>
      <c r="C498" s="2" t="inlineStr">
        <is>
          <t>U</t>
        </is>
      </c>
      <c r="D498" s="2" t="inlineStr">
        <is>
          <t>Two component chemical and water resistant  satin finish epoxy paint</t>
        </is>
      </c>
      <c r="E498" s="2" t="inlineStr">
        <is>
          <t>m</t>
        </is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56</v>
      </c>
      <c r="O498" s="2" t="n">
        <v>0</v>
      </c>
      <c r="P498" s="2" t="n">
        <v>0</v>
      </c>
      <c r="Q498" s="2" t="n">
        <v>56</v>
      </c>
      <c r="R498" s="2" t="n">
        <v>56</v>
      </c>
      <c r="S498" s="2" t="n"/>
      <c r="T498" s="2">
        <f>IF(OR(S498="",R498=0),"",ROUND(S498*R498,2))</f>
        <v/>
      </c>
      <c r="U498" s="2" t="inlineStr"/>
    </row>
    <row r="499">
      <c r="A499" s="2" t="inlineStr">
        <is>
          <t>J</t>
        </is>
      </c>
      <c r="B499" s="2" t="inlineStr">
        <is>
          <t>FINISHINGS</t>
        </is>
      </c>
      <c r="C499" s="2" t="inlineStr">
        <is>
          <t>U</t>
        </is>
      </c>
      <c r="D499" s="2" t="inlineStr">
        <is>
          <t>Stair Copping, size 200mm wide</t>
        </is>
      </c>
      <c r="E499" s="2" t="inlineStr">
        <is>
          <t>m</t>
        </is>
      </c>
      <c r="F499" s="2" t="n">
        <v>0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1</v>
      </c>
      <c r="M499" s="2" t="n">
        <v>1</v>
      </c>
      <c r="N499" s="2" t="n">
        <v>0</v>
      </c>
      <c r="O499" s="2" t="n">
        <v>0</v>
      </c>
      <c r="P499" s="2" t="n">
        <v>0</v>
      </c>
      <c r="Q499" s="2" t="n">
        <v>2</v>
      </c>
      <c r="R499" s="2" t="n">
        <v>37</v>
      </c>
      <c r="S499" s="2" t="n"/>
      <c r="T499" s="2">
        <f>IF(OR(S499="",R499=0),"",ROUND(S499*R499,2))</f>
        <v/>
      </c>
      <c r="U499" s="2" t="inlineStr"/>
    </row>
    <row r="500">
      <c r="A500" s="2" t="inlineStr">
        <is>
          <t>J</t>
        </is>
      </c>
      <c r="B500" s="2" t="inlineStr">
        <is>
          <t>FINISHINGS</t>
        </is>
      </c>
      <c r="C500" s="2" t="inlineStr">
        <is>
          <t>U</t>
        </is>
      </c>
      <c r="D500" s="2" t="inlineStr">
        <is>
          <t>To gypsum board ceiling; GC-101, White paint, to Community Hall</t>
        </is>
      </c>
      <c r="E500" s="2" t="inlineStr">
        <is>
          <t>m²</t>
        </is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137</v>
      </c>
      <c r="O500" s="2" t="n">
        <v>0</v>
      </c>
      <c r="P500" s="2" t="n">
        <v>0</v>
      </c>
      <c r="Q500" s="2" t="n">
        <v>137</v>
      </c>
      <c r="R500" s="2" t="n">
        <v>137</v>
      </c>
      <c r="S500" s="2" t="n"/>
      <c r="T500" s="2">
        <f>IF(OR(S500="",R500=0),"",ROUND(S500*R500,2))</f>
        <v/>
      </c>
      <c r="U500" s="2" t="inlineStr"/>
    </row>
    <row r="501">
      <c r="A501" s="2" t="inlineStr">
        <is>
          <t>J</t>
        </is>
      </c>
      <c r="B501" s="2" t="inlineStr">
        <is>
          <t>FINISHINGS</t>
        </is>
      </c>
      <c r="C501" s="2" t="inlineStr">
        <is>
          <t>V</t>
        </is>
      </c>
      <c r="D501" s="2" t="inlineStr">
        <is>
          <t>To gypsum board ceiling; CB-01, Moisture resistant anti-fungal acrylic emulsion paint finish</t>
        </is>
      </c>
      <c r="E501" s="2" t="inlineStr">
        <is>
          <t>m²</t>
        </is>
      </c>
      <c r="F501" s="2" t="n">
        <v>0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3</v>
      </c>
      <c r="P501" s="2" t="n">
        <v>0</v>
      </c>
      <c r="Q501" s="2" t="n">
        <v>3</v>
      </c>
      <c r="R501" s="2" t="n">
        <v>3</v>
      </c>
      <c r="S501" s="2" t="n"/>
      <c r="T501" s="2">
        <f>IF(OR(S501="",R501=0),"",ROUND(S501*R501,2))</f>
        <v/>
      </c>
      <c r="U501" s="2" t="inlineStr"/>
    </row>
    <row r="502">
      <c r="A502" s="2" t="inlineStr">
        <is>
          <t>J</t>
        </is>
      </c>
      <c r="B502" s="2" t="inlineStr">
        <is>
          <t>FINISHINGS</t>
        </is>
      </c>
      <c r="C502" s="2" t="inlineStr">
        <is>
          <t>W</t>
        </is>
      </c>
      <c r="D502" s="2" t="inlineStr">
        <is>
          <t>To exposed concrete slab; PT-101, Acrylic emulsion paint matt finish</t>
        </is>
      </c>
      <c r="E502" s="2" t="inlineStr">
        <is>
          <t>m²</t>
        </is>
      </c>
      <c r="F502" s="2" t="n">
        <v>0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8</v>
      </c>
      <c r="P502" s="2" t="n">
        <v>0</v>
      </c>
      <c r="Q502" s="2" t="n">
        <v>8</v>
      </c>
      <c r="R502" s="2" t="n">
        <v>8</v>
      </c>
      <c r="S502" s="2" t="n"/>
      <c r="T502" s="2">
        <f>IF(OR(S502="",R502=0),"",ROUND(S502*R502,2))</f>
        <v/>
      </c>
      <c r="U502" s="2" t="inlineStr"/>
    </row>
    <row r="503">
      <c r="A503" s="2" t="inlineStr">
        <is>
          <t>J</t>
        </is>
      </c>
      <c r="B503" s="2" t="inlineStr">
        <is>
          <t>SUSPENDED CEILINGS</t>
        </is>
      </c>
      <c r="C503" s="2" t="inlineStr">
        <is>
          <t>*A</t>
        </is>
      </c>
      <c r="D503" s="2" t="inlineStr">
        <is>
          <t>Ref. CB-01, 12.5mm thick cement board with paint finish</t>
        </is>
      </c>
      <c r="E503" s="2" t="inlineStr">
        <is>
          <t>m²</t>
        </is>
      </c>
      <c r="F503" s="2" t="n">
        <v>0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24</v>
      </c>
      <c r="M503" s="2" t="n">
        <v>36</v>
      </c>
      <c r="N503" s="2" t="n">
        <v>0</v>
      </c>
      <c r="O503" s="2" t="n">
        <v>0</v>
      </c>
      <c r="P503" s="2" t="n">
        <v>0</v>
      </c>
      <c r="Q503" s="2" t="n">
        <v>60</v>
      </c>
      <c r="R503" s="2" t="n">
        <v>1116</v>
      </c>
      <c r="S503" s="2" t="n"/>
      <c r="T503" s="2">
        <f>IF(OR(S503="",R503=0),"",ROUND(S503*R503,2))</f>
        <v/>
      </c>
      <c r="U503" s="2" t="inlineStr"/>
    </row>
    <row r="504">
      <c r="A504" s="2" t="inlineStr">
        <is>
          <t>J</t>
        </is>
      </c>
      <c r="B504" s="2" t="inlineStr">
        <is>
          <t>SUSPENDED CEILINGS</t>
        </is>
      </c>
      <c r="C504" s="2" t="inlineStr">
        <is>
          <t>*A1</t>
        </is>
      </c>
      <c r="D504" s="2" t="inlineStr">
        <is>
          <t>Ref. CB-02, 12.5mm thick cement board with thermal insulation, paint finish</t>
        </is>
      </c>
      <c r="E504" s="2" t="inlineStr">
        <is>
          <t>m²</t>
        </is>
      </c>
      <c r="F504" s="2" t="n">
        <v>10</v>
      </c>
      <c r="G504" s="2" t="n">
        <v>10</v>
      </c>
      <c r="H504" s="2" t="n">
        <v>19</v>
      </c>
      <c r="I504" s="2" t="n">
        <v>19</v>
      </c>
      <c r="J504" s="2" t="n">
        <v>0</v>
      </c>
      <c r="K504" s="2" t="n">
        <v>29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  <c r="Q504" s="2" t="n">
        <v>87</v>
      </c>
      <c r="R504" s="2" t="n">
        <v>1314</v>
      </c>
      <c r="S504" s="2" t="n"/>
      <c r="T504" s="2">
        <f>IF(OR(S504="",R504=0),"",ROUND(S504*R504,2))</f>
        <v/>
      </c>
      <c r="U504" s="2" t="inlineStr"/>
    </row>
    <row r="505">
      <c r="A505" s="2" t="inlineStr">
        <is>
          <t>J</t>
        </is>
      </c>
      <c r="B505" s="2" t="inlineStr">
        <is>
          <t>SUSPENDED CEILINGS</t>
        </is>
      </c>
      <c r="C505" s="2" t="inlineStr">
        <is>
          <t>*B</t>
        </is>
      </c>
      <c r="D505" s="2" t="inlineStr">
        <is>
          <t>Ref. CB-01, 12.5mm thick cement board with moisture resistant, thermal insulation, paint finish</t>
        </is>
      </c>
      <c r="E505" s="2" t="inlineStr">
        <is>
          <t>m²</t>
        </is>
      </c>
      <c r="F505" s="2" t="n">
        <v>9</v>
      </c>
      <c r="G505" s="2" t="n">
        <v>9</v>
      </c>
      <c r="H505" s="2" t="n">
        <v>7</v>
      </c>
      <c r="I505" s="2" t="n">
        <v>7</v>
      </c>
      <c r="J505" s="2" t="n">
        <v>11</v>
      </c>
      <c r="K505" s="2" t="n">
        <v>9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  <c r="Q505" s="2" t="n">
        <v>52</v>
      </c>
      <c r="R505" s="2" t="n">
        <v>768</v>
      </c>
      <c r="S505" s="2" t="n"/>
      <c r="T505" s="2">
        <f>IF(OR(S505="",R505=0),"",ROUND(S505*R505,2))</f>
        <v/>
      </c>
      <c r="U505" s="2" t="inlineStr"/>
    </row>
    <row r="506">
      <c r="A506" s="2" t="inlineStr">
        <is>
          <t>J</t>
        </is>
      </c>
      <c r="B506" s="2" t="inlineStr">
        <is>
          <t>SUSPENDED CEILINGS</t>
        </is>
      </c>
      <c r="C506" s="2" t="inlineStr">
        <is>
          <t>*C</t>
        </is>
      </c>
      <c r="D506" s="2" t="inlineStr">
        <is>
          <t>Ref. CB-03, 12.5mm thick cement board with moisture resistant, paint finish</t>
        </is>
      </c>
      <c r="E506" s="2" t="inlineStr">
        <is>
          <t>m²</t>
        </is>
      </c>
      <c r="F506" s="2" t="n">
        <v>29</v>
      </c>
      <c r="G506" s="2" t="n">
        <v>85</v>
      </c>
      <c r="H506" s="2" t="n">
        <v>50</v>
      </c>
      <c r="I506" s="2" t="n">
        <v>132</v>
      </c>
      <c r="J506" s="2" t="n">
        <v>99</v>
      </c>
      <c r="K506" s="2" t="n">
        <v>187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  <c r="Q506" s="2" t="n">
        <v>582</v>
      </c>
      <c r="R506" s="2" t="n">
        <v>8005</v>
      </c>
      <c r="S506" s="2" t="n"/>
      <c r="T506" s="2">
        <f>IF(OR(S506="",R506=0),"",ROUND(S506*R506,2))</f>
        <v/>
      </c>
      <c r="U506" s="2" t="inlineStr"/>
    </row>
    <row r="507">
      <c r="A507" s="2" t="inlineStr">
        <is>
          <t>J</t>
        </is>
      </c>
      <c r="B507" s="2" t="inlineStr">
        <is>
          <t>SUSPENDED CEILINGS</t>
        </is>
      </c>
      <c r="C507" s="2" t="inlineStr">
        <is>
          <t>*D</t>
        </is>
      </c>
      <c r="D507" s="2" t="inlineStr">
        <is>
          <t>Ref. PT-01, External paint to carport</t>
        </is>
      </c>
      <c r="E507" s="2" t="inlineStr">
        <is>
          <t>m²</t>
        </is>
      </c>
      <c r="F507" s="2" t="n">
        <v>127</v>
      </c>
      <c r="G507" s="2" t="n">
        <v>129</v>
      </c>
      <c r="H507" s="2" t="n">
        <v>193</v>
      </c>
      <c r="I507" s="2" t="n">
        <v>192</v>
      </c>
      <c r="J507" s="2" t="n">
        <v>258</v>
      </c>
      <c r="K507" s="2" t="n">
        <v>258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  <c r="Q507" s="2" t="n">
        <v>1157</v>
      </c>
      <c r="R507" s="2" t="n">
        <v>16363</v>
      </c>
      <c r="S507" s="2" t="n"/>
      <c r="T507" s="2">
        <f>IF(OR(S507="",R507=0),"",ROUND(S507*R507,2))</f>
        <v/>
      </c>
      <c r="U507" s="2" t="inlineStr"/>
    </row>
    <row r="508">
      <c r="A508" s="2" t="inlineStr">
        <is>
          <t>J</t>
        </is>
      </c>
      <c r="B508" s="2" t="inlineStr">
        <is>
          <t>SUSPENDED CEILINGS</t>
        </is>
      </c>
      <c r="C508" s="2" t="inlineStr">
        <is>
          <t>*E</t>
        </is>
      </c>
      <c r="D508" s="2" t="inlineStr">
        <is>
          <t>Ref. PT-01, External paint to soffits</t>
        </is>
      </c>
      <c r="E508" s="2" t="inlineStr">
        <is>
          <t>m²</t>
        </is>
      </c>
      <c r="F508" s="2" t="n">
        <v>78</v>
      </c>
      <c r="G508" s="2" t="n">
        <v>11</v>
      </c>
      <c r="H508" s="2" t="n">
        <v>106</v>
      </c>
      <c r="I508" s="2" t="n">
        <v>30</v>
      </c>
      <c r="J508" s="2" t="n">
        <v>157</v>
      </c>
      <c r="K508" s="2" t="n">
        <v>21</v>
      </c>
      <c r="L508" s="2" t="n">
        <v>14</v>
      </c>
      <c r="M508" s="2" t="n">
        <v>12</v>
      </c>
      <c r="N508" s="2" t="n">
        <v>0</v>
      </c>
      <c r="O508" s="2" t="n">
        <v>0</v>
      </c>
      <c r="P508" s="2" t="n">
        <v>0</v>
      </c>
      <c r="Q508" s="2" t="n">
        <v>429</v>
      </c>
      <c r="R508" s="2" t="n">
        <v>6240</v>
      </c>
      <c r="S508" s="2" t="n"/>
      <c r="T508" s="2">
        <f>IF(OR(S508="",R508=0),"",ROUND(S508*R508,2))</f>
        <v/>
      </c>
      <c r="U508" s="2" t="inlineStr"/>
    </row>
    <row r="509">
      <c r="A509" s="2" t="inlineStr">
        <is>
          <t>J</t>
        </is>
      </c>
      <c r="B509" s="2" t="inlineStr">
        <is>
          <t>SUSPENDED CEILINGS</t>
        </is>
      </c>
      <c r="C509" s="2" t="inlineStr">
        <is>
          <t>A</t>
        </is>
      </c>
      <c r="D509" s="2" t="inlineStr">
        <is>
          <t>Ref. GC-100, 12.5mm thick, Gypsum Board Ceiling</t>
        </is>
      </c>
      <c r="E509" s="2" t="inlineStr">
        <is>
          <t>m²</t>
        </is>
      </c>
      <c r="F509" s="2" t="n">
        <v>182</v>
      </c>
      <c r="G509" s="2" t="n">
        <v>182</v>
      </c>
      <c r="H509" s="2" t="n">
        <v>253</v>
      </c>
      <c r="I509" s="2" t="n">
        <v>253</v>
      </c>
      <c r="J509" s="2" t="n">
        <v>323</v>
      </c>
      <c r="K509" s="2" t="n">
        <v>323</v>
      </c>
      <c r="L509" s="2" t="n">
        <v>143</v>
      </c>
      <c r="M509" s="2" t="n">
        <v>143</v>
      </c>
      <c r="N509" s="2" t="n">
        <v>0</v>
      </c>
      <c r="O509" s="2" t="n">
        <v>0</v>
      </c>
      <c r="P509" s="2" t="n">
        <v>0</v>
      </c>
      <c r="Q509" s="2" t="n">
        <v>1802</v>
      </c>
      <c r="R509" s="2" t="n">
        <v>27060</v>
      </c>
      <c r="S509" s="2" t="n"/>
      <c r="T509" s="2">
        <f>IF(OR(S509="",R509=0),"",ROUND(S509*R509,2))</f>
        <v/>
      </c>
      <c r="U509" s="2" t="inlineStr"/>
    </row>
    <row r="510">
      <c r="A510" s="2" t="inlineStr">
        <is>
          <t>J</t>
        </is>
      </c>
      <c r="B510" s="2" t="inlineStr">
        <is>
          <t>SUSPENDED CEILINGS</t>
        </is>
      </c>
      <c r="C510" s="2" t="inlineStr">
        <is>
          <t>A</t>
        </is>
      </c>
      <c r="D510" s="2" t="inlineStr">
        <is>
          <t>180mm high; ref. GC-100</t>
        </is>
      </c>
      <c r="E510" s="2" t="inlineStr">
        <is>
          <t>m</t>
        </is>
      </c>
      <c r="F510" s="2" t="n">
        <v>9</v>
      </c>
      <c r="G510" s="2" t="n">
        <v>9</v>
      </c>
      <c r="H510" s="2" t="n">
        <v>9</v>
      </c>
      <c r="I510" s="2" t="n">
        <v>9</v>
      </c>
      <c r="J510" s="2" t="n">
        <v>9</v>
      </c>
      <c r="K510" s="2" t="n">
        <v>9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  <c r="Q510" s="2" t="n">
        <v>54</v>
      </c>
      <c r="R510" s="2" t="n">
        <v>828</v>
      </c>
      <c r="S510" s="2" t="n"/>
      <c r="T510" s="2">
        <f>IF(OR(S510="",R510=0),"",ROUND(S510*R510,2))</f>
        <v/>
      </c>
      <c r="U510" s="2" t="inlineStr"/>
    </row>
    <row r="511">
      <c r="A511" s="2" t="inlineStr">
        <is>
          <t>J</t>
        </is>
      </c>
      <c r="B511" s="2" t="inlineStr">
        <is>
          <t>SUSPENDED CEILINGS</t>
        </is>
      </c>
      <c r="C511" s="2" t="inlineStr">
        <is>
          <t>A</t>
        </is>
      </c>
      <c r="D511" s="2" t="inlineStr">
        <is>
          <t>770mm length; ref. GC-102, to Gym</t>
        </is>
      </c>
      <c r="E511" s="2" t="inlineStr">
        <is>
          <t>m</t>
        </is>
      </c>
      <c r="F511" s="2" t="n">
        <v>0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47</v>
      </c>
      <c r="O511" s="2" t="n">
        <v>0</v>
      </c>
      <c r="P511" s="2" t="n">
        <v>0</v>
      </c>
      <c r="Q511" s="2" t="n">
        <v>47</v>
      </c>
      <c r="R511" s="2" t="n">
        <v>47</v>
      </c>
      <c r="S511" s="2" t="n"/>
      <c r="T511" s="2">
        <f>IF(OR(S511="",R511=0),"",ROUND(S511*R511,2))</f>
        <v/>
      </c>
      <c r="U511" s="2" t="inlineStr"/>
    </row>
    <row r="512">
      <c r="A512" s="2" t="inlineStr">
        <is>
          <t>J</t>
        </is>
      </c>
      <c r="B512" s="2" t="inlineStr">
        <is>
          <t>SUSPENDED CEILINGS</t>
        </is>
      </c>
      <c r="C512" s="2" t="inlineStr">
        <is>
          <t>A</t>
        </is>
      </c>
      <c r="D512" s="2" t="inlineStr">
        <is>
          <t>600x600mm; Motley - MY02 Nat Monterey; to Terrace</t>
        </is>
      </c>
      <c r="E512" s="2" t="inlineStr">
        <is>
          <t>m²</t>
        </is>
      </c>
      <c r="F512" s="2" t="n">
        <v>44</v>
      </c>
      <c r="G512" s="2" t="n">
        <v>44</v>
      </c>
      <c r="H512" s="2" t="n">
        <v>62</v>
      </c>
      <c r="I512" s="2" t="n">
        <v>62</v>
      </c>
      <c r="J512" s="2" t="n">
        <v>62</v>
      </c>
      <c r="K512" s="2" t="n">
        <v>62</v>
      </c>
      <c r="L512" s="2" t="n">
        <v>21</v>
      </c>
      <c r="M512" s="2" t="n">
        <v>24</v>
      </c>
      <c r="N512" s="2" t="n">
        <v>0</v>
      </c>
      <c r="O512" s="2" t="n">
        <v>0</v>
      </c>
      <c r="P512" s="2" t="n">
        <v>0</v>
      </c>
      <c r="Q512" s="2" t="n">
        <v>381</v>
      </c>
      <c r="R512" s="2" t="n">
        <v>5872</v>
      </c>
      <c r="S512" s="2" t="n"/>
      <c r="T512" s="2">
        <f>IF(OR(S512="",R512=0),"",ROUND(S512*R512,2))</f>
        <v/>
      </c>
      <c r="U512" s="2" t="inlineStr"/>
    </row>
    <row r="513">
      <c r="A513" s="2" t="inlineStr">
        <is>
          <t>J</t>
        </is>
      </c>
      <c r="B513" s="2" t="inlineStr">
        <is>
          <t>SUSPENDED CEILINGS</t>
        </is>
      </c>
      <c r="C513" s="2" t="inlineStr">
        <is>
          <t>AA</t>
        </is>
      </c>
      <c r="D513" s="2" t="inlineStr">
        <is>
          <t>300mm high; ref. GC-101, to Gym</t>
        </is>
      </c>
      <c r="E513" s="2" t="inlineStr">
        <is>
          <t>m</t>
        </is>
      </c>
      <c r="F513" s="2" t="n">
        <v>0</v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47</v>
      </c>
      <c r="O513" s="2" t="n">
        <v>0</v>
      </c>
      <c r="P513" s="2" t="n">
        <v>0</v>
      </c>
      <c r="Q513" s="2" t="n">
        <v>47</v>
      </c>
      <c r="R513" s="2" t="n">
        <v>47</v>
      </c>
      <c r="S513" s="2" t="n"/>
      <c r="T513" s="2">
        <f>IF(OR(S513="",R513=0),"",ROUND(S513*R513,2))</f>
        <v/>
      </c>
      <c r="U513" s="2" t="inlineStr"/>
    </row>
    <row r="514">
      <c r="A514" s="2" t="inlineStr">
        <is>
          <t>J</t>
        </is>
      </c>
      <c r="B514" s="2" t="inlineStr">
        <is>
          <t>SUSPENDED CEILINGS</t>
        </is>
      </c>
      <c r="C514" s="2" t="inlineStr">
        <is>
          <t>AB</t>
        </is>
      </c>
      <c r="D514" s="2" t="inlineStr">
        <is>
          <t>500mm high; ref. GC-101, to Gym</t>
        </is>
      </c>
      <c r="E514" s="2" t="inlineStr">
        <is>
          <t>m</t>
        </is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7</v>
      </c>
      <c r="O514" s="2" t="n">
        <v>0</v>
      </c>
      <c r="P514" s="2" t="n">
        <v>0</v>
      </c>
      <c r="Q514" s="2" t="n">
        <v>7</v>
      </c>
      <c r="R514" s="2" t="n">
        <v>7</v>
      </c>
      <c r="S514" s="2" t="n"/>
      <c r="T514" s="2">
        <f>IF(OR(S514="",R514=0),"",ROUND(S514*R514,2))</f>
        <v/>
      </c>
      <c r="U514" s="2" t="inlineStr"/>
    </row>
    <row r="515">
      <c r="A515" s="2" t="inlineStr">
        <is>
          <t>J</t>
        </is>
      </c>
      <c r="B515" s="2" t="inlineStr">
        <is>
          <t>SUSPENDED CEILINGS</t>
        </is>
      </c>
      <c r="C515" s="2" t="inlineStr">
        <is>
          <t>B</t>
        </is>
      </c>
      <c r="D515" s="2" t="inlineStr">
        <is>
          <t>Ref. GC-102, 12.5mm thick, Moisture Resistant Gypsum Board</t>
        </is>
      </c>
      <c r="E515" s="2" t="inlineStr">
        <is>
          <t>m²</t>
        </is>
      </c>
      <c r="F515" s="2" t="n">
        <v>105</v>
      </c>
      <c r="G515" s="2" t="n">
        <v>105</v>
      </c>
      <c r="H515" s="2" t="n">
        <v>149</v>
      </c>
      <c r="I515" s="2" t="n">
        <v>149</v>
      </c>
      <c r="J515" s="2" t="n">
        <v>193</v>
      </c>
      <c r="K515" s="2" t="n">
        <v>193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0</v>
      </c>
      <c r="Q515" s="2" t="n">
        <v>894</v>
      </c>
      <c r="R515" s="2" t="n">
        <v>12784</v>
      </c>
      <c r="S515" s="2" t="n"/>
      <c r="T515" s="2">
        <f>IF(OR(S515="",R515=0),"",ROUND(S515*R515,2))</f>
        <v/>
      </c>
      <c r="U515" s="2" t="inlineStr"/>
    </row>
    <row r="516">
      <c r="A516" s="2" t="inlineStr">
        <is>
          <t>J</t>
        </is>
      </c>
      <c r="B516" s="2" t="inlineStr">
        <is>
          <t>SUSPENDED CEILINGS</t>
        </is>
      </c>
      <c r="C516" s="2" t="inlineStr">
        <is>
          <t>B</t>
        </is>
      </c>
      <c r="D516" s="2" t="inlineStr">
        <is>
          <t>200mm high; ref. GC-100</t>
        </is>
      </c>
      <c r="E516" s="2" t="inlineStr">
        <is>
          <t>m</t>
        </is>
      </c>
      <c r="F516" s="2" t="n">
        <v>17</v>
      </c>
      <c r="G516" s="2" t="n">
        <v>17</v>
      </c>
      <c r="H516" s="2" t="n">
        <v>17</v>
      </c>
      <c r="I516" s="2" t="n">
        <v>17</v>
      </c>
      <c r="J516" s="2" t="n">
        <v>17</v>
      </c>
      <c r="K516" s="2" t="n">
        <v>17</v>
      </c>
      <c r="L516" s="2" t="n">
        <v>7</v>
      </c>
      <c r="M516" s="2" t="n">
        <v>7</v>
      </c>
      <c r="N516" s="2" t="n">
        <v>0</v>
      </c>
      <c r="O516" s="2" t="n">
        <v>0</v>
      </c>
      <c r="P516" s="2" t="n">
        <v>0</v>
      </c>
      <c r="Q516" s="2" t="n">
        <v>116</v>
      </c>
      <c r="R516" s="2" t="n">
        <v>1823</v>
      </c>
      <c r="S516" s="2" t="n"/>
      <c r="T516" s="2">
        <f>IF(OR(S516="",R516=0),"",ROUND(S516*R516,2))</f>
        <v/>
      </c>
      <c r="U516" s="2" t="inlineStr"/>
    </row>
    <row r="517">
      <c r="A517" s="2" t="inlineStr">
        <is>
          <t>J</t>
        </is>
      </c>
      <c r="B517" s="2" t="inlineStr">
        <is>
          <t>SUSPENDED CEILINGS</t>
        </is>
      </c>
      <c r="C517" s="2" t="inlineStr">
        <is>
          <t>B</t>
        </is>
      </c>
      <c r="D517" s="2" t="inlineStr">
        <is>
          <t>Size 65mm W x 50mm H, ref. GC-100, to Lift cabin</t>
        </is>
      </c>
      <c r="E517" s="2" t="inlineStr">
        <is>
          <t>m</t>
        </is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4</v>
      </c>
      <c r="M517" s="2" t="n">
        <v>4</v>
      </c>
      <c r="N517" s="2" t="n">
        <v>0</v>
      </c>
      <c r="O517" s="2" t="n">
        <v>0</v>
      </c>
      <c r="P517" s="2" t="n">
        <v>0</v>
      </c>
      <c r="Q517" s="2" t="n">
        <v>8</v>
      </c>
      <c r="R517" s="2" t="n">
        <v>148</v>
      </c>
      <c r="S517" s="2" t="n"/>
      <c r="T517" s="2">
        <f>IF(OR(S517="",R517=0),"",ROUND(S517*R517,2))</f>
        <v/>
      </c>
      <c r="U517" s="2" t="inlineStr"/>
    </row>
    <row r="518">
      <c r="A518" s="2" t="inlineStr">
        <is>
          <t>J</t>
        </is>
      </c>
      <c r="B518" s="2" t="inlineStr">
        <is>
          <t>SUSPENDED CEILINGS</t>
        </is>
      </c>
      <c r="C518" s="2" t="inlineStr">
        <is>
          <t>B</t>
        </is>
      </c>
      <c r="D518" s="2" t="inlineStr">
        <is>
          <t>600x600mm; Motley - MY02 Nat Monterey; to Upper balconies</t>
        </is>
      </c>
      <c r="E518" s="2" t="inlineStr">
        <is>
          <t>m²</t>
        </is>
      </c>
      <c r="F518" s="2" t="n">
        <v>22</v>
      </c>
      <c r="G518" s="2" t="n">
        <v>26</v>
      </c>
      <c r="H518" s="2" t="n">
        <v>36</v>
      </c>
      <c r="I518" s="2" t="n">
        <v>43</v>
      </c>
      <c r="J518" s="2" t="n">
        <v>49</v>
      </c>
      <c r="K518" s="2" t="n">
        <v>59</v>
      </c>
      <c r="L518" s="2" t="n">
        <v>44</v>
      </c>
      <c r="M518" s="2" t="n">
        <v>45</v>
      </c>
      <c r="N518" s="2" t="n">
        <v>0</v>
      </c>
      <c r="O518" s="2" t="n">
        <v>0</v>
      </c>
      <c r="P518" s="2" t="n">
        <v>0</v>
      </c>
      <c r="Q518" s="2" t="n">
        <v>324</v>
      </c>
      <c r="R518" s="2" t="n">
        <v>4944</v>
      </c>
      <c r="S518" s="2" t="n"/>
      <c r="T518" s="2">
        <f>IF(OR(S518="",R518=0),"",ROUND(S518*R518,2))</f>
        <v/>
      </c>
      <c r="U518" s="2" t="inlineStr"/>
    </row>
    <row r="519">
      <c r="A519" s="2" t="inlineStr">
        <is>
          <t>J</t>
        </is>
      </c>
      <c r="B519" s="2" t="inlineStr">
        <is>
          <t>SUSPENDED CEILINGS</t>
        </is>
      </c>
      <c r="C519" s="2" t="inlineStr">
        <is>
          <t>C</t>
        </is>
      </c>
      <c r="D519" s="2" t="inlineStr">
        <is>
          <t>Ref. CB-03, 12.5mm thick, Cement board</t>
        </is>
      </c>
      <c r="E519" s="2" t="inlineStr">
        <is>
          <t>m²</t>
        </is>
      </c>
      <c r="F519" s="2" t="n">
        <v>3</v>
      </c>
      <c r="G519" s="2" t="n">
        <v>3</v>
      </c>
      <c r="H519" s="2" t="n">
        <v>6</v>
      </c>
      <c r="I519" s="2" t="n">
        <v>6</v>
      </c>
      <c r="J519" s="2" t="n">
        <v>9</v>
      </c>
      <c r="K519" s="2" t="n">
        <v>9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0</v>
      </c>
      <c r="Q519" s="2" t="n">
        <v>36</v>
      </c>
      <c r="R519" s="2" t="n">
        <v>489</v>
      </c>
      <c r="S519" s="2" t="n"/>
      <c r="T519" s="2">
        <f>IF(OR(S519="",R519=0),"",ROUND(S519*R519,2))</f>
        <v/>
      </c>
      <c r="U519" s="2" t="inlineStr"/>
    </row>
    <row r="520">
      <c r="A520" s="2" t="inlineStr">
        <is>
          <t>J</t>
        </is>
      </c>
      <c r="B520" s="2" t="inlineStr">
        <is>
          <t>SUSPENDED CEILINGS</t>
        </is>
      </c>
      <c r="C520" s="2" t="inlineStr">
        <is>
          <t>C</t>
        </is>
      </c>
      <c r="D520" s="2" t="inlineStr">
        <is>
          <t>500mm high; ref. GC-100</t>
        </is>
      </c>
      <c r="E520" s="2" t="inlineStr">
        <is>
          <t>m</t>
        </is>
      </c>
      <c r="F520" s="2" t="n">
        <v>13</v>
      </c>
      <c r="G520" s="2" t="n">
        <v>13</v>
      </c>
      <c r="H520" s="2" t="n">
        <v>18</v>
      </c>
      <c r="I520" s="2" t="n">
        <v>18</v>
      </c>
      <c r="J520" s="2" t="n">
        <v>23</v>
      </c>
      <c r="K520" s="2" t="n">
        <v>23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0</v>
      </c>
      <c r="Q520" s="2" t="n">
        <v>108</v>
      </c>
      <c r="R520" s="2" t="n">
        <v>1551</v>
      </c>
      <c r="S520" s="2" t="n"/>
      <c r="T520" s="2">
        <f>IF(OR(S520="",R520=0),"",ROUND(S520*R520,2))</f>
        <v/>
      </c>
      <c r="U520" s="2" t="inlineStr"/>
    </row>
    <row r="521">
      <c r="A521" s="2" t="inlineStr">
        <is>
          <t>J</t>
        </is>
      </c>
      <c r="B521" s="2" t="inlineStr">
        <is>
          <t>SUSPENDED CEILINGS</t>
        </is>
      </c>
      <c r="C521" s="2" t="inlineStr">
        <is>
          <t>C</t>
        </is>
      </c>
      <c r="D521" s="2" t="inlineStr">
        <is>
          <t>Size 80mm W x 50mm H, Ref. GC-101, to Community Hall</t>
        </is>
      </c>
      <c r="E521" s="2" t="inlineStr">
        <is>
          <t>m</t>
        </is>
      </c>
      <c r="F521" s="2" t="n">
        <v>0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39</v>
      </c>
      <c r="O521" s="2" t="n">
        <v>0</v>
      </c>
      <c r="P521" s="2" t="n">
        <v>0</v>
      </c>
      <c r="Q521" s="2" t="n">
        <v>39</v>
      </c>
      <c r="R521" s="2" t="n">
        <v>39</v>
      </c>
      <c r="S521" s="2" t="n"/>
      <c r="T521" s="2">
        <f>IF(OR(S521="",R521=0),"",ROUND(S521*R521,2))</f>
        <v/>
      </c>
      <c r="U521" s="2" t="inlineStr"/>
    </row>
    <row r="522">
      <c r="A522" s="2" t="inlineStr">
        <is>
          <t>J</t>
        </is>
      </c>
      <c r="B522" s="2" t="inlineStr">
        <is>
          <t>SUSPENDED CEILINGS</t>
        </is>
      </c>
      <c r="C522" s="2" t="inlineStr">
        <is>
          <t>C</t>
        </is>
      </c>
      <c r="D522" s="2" t="inlineStr">
        <is>
          <t>600x600mm; Motley - MY02 Nat Monterey; to Main Entrance Floor</t>
        </is>
      </c>
      <c r="E522" s="2" t="inlineStr">
        <is>
          <t>m²</t>
        </is>
      </c>
      <c r="F522" s="2" t="n">
        <v>12</v>
      </c>
      <c r="G522" s="2" t="n">
        <v>12</v>
      </c>
      <c r="H522" s="2" t="n">
        <v>20</v>
      </c>
      <c r="I522" s="2" t="n">
        <v>20</v>
      </c>
      <c r="J522" s="2" t="n">
        <v>27</v>
      </c>
      <c r="K522" s="2" t="n">
        <v>27</v>
      </c>
      <c r="L522" s="2" t="n">
        <v>4</v>
      </c>
      <c r="M522" s="2" t="n">
        <v>4</v>
      </c>
      <c r="N522" s="2" t="n">
        <v>0</v>
      </c>
      <c r="O522" s="2" t="n">
        <v>0</v>
      </c>
      <c r="P522" s="2" t="n">
        <v>0</v>
      </c>
      <c r="Q522" s="2" t="n">
        <v>126</v>
      </c>
      <c r="R522" s="2" t="n">
        <v>1804</v>
      </c>
      <c r="S522" s="2" t="n"/>
      <c r="T522" s="2">
        <f>IF(OR(S522="",R522=0),"",ROUND(S522*R522,2))</f>
        <v/>
      </c>
      <c r="U522" s="2" t="inlineStr"/>
    </row>
    <row r="523">
      <c r="A523" s="2" t="inlineStr">
        <is>
          <t>J</t>
        </is>
      </c>
      <c r="B523" s="2" t="inlineStr">
        <is>
          <t>SUSPENDED CEILINGS</t>
        </is>
      </c>
      <c r="C523" s="2" t="inlineStr">
        <is>
          <t>D</t>
        </is>
      </c>
      <c r="D523" s="2" t="inlineStr">
        <is>
          <t>Ref. GC-101, 12.5mm thick, Moisture Resistant Gypsum Board</t>
        </is>
      </c>
      <c r="E523" s="2" t="inlineStr">
        <is>
          <t>m²</t>
        </is>
      </c>
      <c r="F523" s="2" t="n">
        <v>0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54</v>
      </c>
      <c r="M523" s="2" t="n">
        <v>54</v>
      </c>
      <c r="N523" s="2" t="n">
        <v>0</v>
      </c>
      <c r="O523" s="2" t="n">
        <v>0</v>
      </c>
      <c r="P523" s="2" t="n">
        <v>0</v>
      </c>
      <c r="Q523" s="2" t="n">
        <v>108</v>
      </c>
      <c r="R523" s="2" t="n">
        <v>1998</v>
      </c>
      <c r="S523" s="2" t="n"/>
      <c r="T523" s="2">
        <f>IF(OR(S523="",R523=0),"",ROUND(S523*R523,2))</f>
        <v/>
      </c>
      <c r="U523" s="2" t="inlineStr"/>
    </row>
    <row r="524">
      <c r="A524" s="2" t="inlineStr">
        <is>
          <t>J</t>
        </is>
      </c>
      <c r="B524" s="2" t="inlineStr">
        <is>
          <t>SUSPENDED CEILINGS</t>
        </is>
      </c>
      <c r="C524" s="2" t="inlineStr">
        <is>
          <t>D</t>
        </is>
      </c>
      <c r="D524" s="2" t="inlineStr">
        <is>
          <t>600mm high; ref. GC-100</t>
        </is>
      </c>
      <c r="E524" s="2" t="inlineStr">
        <is>
          <t>m</t>
        </is>
      </c>
      <c r="F524" s="2" t="n">
        <v>35</v>
      </c>
      <c r="G524" s="2" t="n">
        <v>35</v>
      </c>
      <c r="H524" s="2" t="n">
        <v>51</v>
      </c>
      <c r="I524" s="2" t="n">
        <v>51</v>
      </c>
      <c r="J524" s="2" t="n">
        <v>67</v>
      </c>
      <c r="K524" s="2" t="n">
        <v>67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  <c r="Q524" s="2" t="n">
        <v>306</v>
      </c>
      <c r="R524" s="2" t="n">
        <v>4356</v>
      </c>
      <c r="S524" s="2" t="n"/>
      <c r="T524" s="2">
        <f>IF(OR(S524="",R524=0),"",ROUND(S524*R524,2))</f>
        <v/>
      </c>
      <c r="U524" s="2" t="inlineStr"/>
    </row>
    <row r="525">
      <c r="A525" s="2" t="inlineStr">
        <is>
          <t>J</t>
        </is>
      </c>
      <c r="B525" s="2" t="inlineStr">
        <is>
          <t>SUSPENDED CEILINGS</t>
        </is>
      </c>
      <c r="C525" s="2" t="inlineStr">
        <is>
          <t>D</t>
        </is>
      </c>
      <c r="D525" s="2" t="inlineStr">
        <is>
          <t>Size 80mm W x 50mm H, Ref. GC-102, to ID areas, at service block</t>
        </is>
      </c>
      <c r="E525" s="2" t="inlineStr">
        <is>
          <t>m</t>
        </is>
      </c>
      <c r="F525" s="2" t="n">
        <v>0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18</v>
      </c>
      <c r="O525" s="2" t="n">
        <v>0</v>
      </c>
      <c r="P525" s="2" t="n">
        <v>0</v>
      </c>
      <c r="Q525" s="2" t="n">
        <v>18</v>
      </c>
      <c r="R525" s="2" t="n">
        <v>18</v>
      </c>
      <c r="S525" s="2" t="n"/>
      <c r="T525" s="2">
        <f>IF(OR(S525="",R525=0),"",ROUND(S525*R525,2))</f>
        <v/>
      </c>
      <c r="U525" s="2" t="inlineStr"/>
    </row>
    <row r="526">
      <c r="A526" s="2" t="inlineStr">
        <is>
          <t>J</t>
        </is>
      </c>
      <c r="B526" s="2" t="inlineStr">
        <is>
          <t>SUSPENDED CEILINGS</t>
        </is>
      </c>
      <c r="C526" s="2" t="inlineStr">
        <is>
          <t>D</t>
        </is>
      </c>
      <c r="D526" s="2" t="inlineStr">
        <is>
          <t>600x600mm; Motley - MY02 Nat Monterey;  to Stair threads 450mm Wide</t>
        </is>
      </c>
      <c r="E526" s="2" t="inlineStr">
        <is>
          <t>m</t>
        </is>
      </c>
      <c r="F526" s="2" t="n">
        <v>7</v>
      </c>
      <c r="G526" s="2" t="n">
        <v>7</v>
      </c>
      <c r="H526" s="2" t="n">
        <v>7</v>
      </c>
      <c r="I526" s="2" t="n">
        <v>7</v>
      </c>
      <c r="J526" s="2" t="n">
        <v>7</v>
      </c>
      <c r="K526" s="2" t="n">
        <v>7</v>
      </c>
      <c r="L526" s="2" t="n">
        <v>4</v>
      </c>
      <c r="M526" s="2" t="n">
        <v>4</v>
      </c>
      <c r="N526" s="2" t="n">
        <v>0</v>
      </c>
      <c r="O526" s="2" t="n">
        <v>0</v>
      </c>
      <c r="P526" s="2" t="n">
        <v>0</v>
      </c>
      <c r="Q526" s="2" t="n">
        <v>50</v>
      </c>
      <c r="R526" s="2" t="n">
        <v>792</v>
      </c>
      <c r="S526" s="2" t="n"/>
      <c r="T526" s="2">
        <f>IF(OR(S526="",R526=0),"",ROUND(S526*R526,2))</f>
        <v/>
      </c>
      <c r="U526" s="2" t="inlineStr"/>
    </row>
    <row r="527">
      <c r="A527" s="2" t="inlineStr">
        <is>
          <t>J</t>
        </is>
      </c>
      <c r="B527" s="2" t="inlineStr">
        <is>
          <t>SUSPENDED CEILINGS</t>
        </is>
      </c>
      <c r="C527" s="2" t="inlineStr">
        <is>
          <t>D</t>
        </is>
      </c>
      <c r="D527" s="2" t="inlineStr">
        <is>
          <t>Ref. 01, Rendered paint finish rough texture Jotashield Decor HB fine smooth Jotashield Eterna-RAL 9010 (LRV=82.61%)</t>
        </is>
      </c>
      <c r="E527" s="2" t="inlineStr">
        <is>
          <t>m²</t>
        </is>
      </c>
      <c r="F527" s="2" t="n">
        <v>691</v>
      </c>
      <c r="G527" s="2" t="n">
        <v>844</v>
      </c>
      <c r="H527" s="2" t="n">
        <v>858</v>
      </c>
      <c r="I527" s="2" t="n">
        <v>1152</v>
      </c>
      <c r="J527" s="2" t="n">
        <v>1335</v>
      </c>
      <c r="K527" s="2" t="n">
        <v>1558</v>
      </c>
      <c r="L527" s="2" t="n">
        <v>587</v>
      </c>
      <c r="M527" s="2" t="n">
        <v>591</v>
      </c>
      <c r="N527" s="2" t="n">
        <v>367</v>
      </c>
      <c r="O527" s="2" t="n">
        <v>52</v>
      </c>
      <c r="P527" s="2" t="n">
        <v>0</v>
      </c>
      <c r="Q527" s="2" t="n">
        <v>8035</v>
      </c>
      <c r="R527" s="2" t="n">
        <v>113374</v>
      </c>
      <c r="S527" s="2" t="n"/>
      <c r="T527" s="2">
        <f>IF(OR(S527="",R527=0),"",ROUND(S527*R527,2))</f>
        <v/>
      </c>
      <c r="U527" s="2" t="inlineStr"/>
    </row>
    <row r="528">
      <c r="A528" s="2" t="inlineStr">
        <is>
          <t>J</t>
        </is>
      </c>
      <c r="B528" s="2" t="inlineStr">
        <is>
          <t>SUSPENDED CEILINGS</t>
        </is>
      </c>
      <c r="C528" s="2" t="inlineStr">
        <is>
          <t>E</t>
        </is>
      </c>
      <c r="D528" s="2" t="inlineStr">
        <is>
          <t>Ref. CB-101, Moisture Resistant, to BOH area, at service block</t>
        </is>
      </c>
      <c r="E528" s="2" t="inlineStr">
        <is>
          <t>m²</t>
        </is>
      </c>
      <c r="F528" s="2" t="n">
        <v>0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5</v>
      </c>
      <c r="O528" s="2" t="n">
        <v>0</v>
      </c>
      <c r="P528" s="2" t="n">
        <v>0</v>
      </c>
      <c r="Q528" s="2" t="n">
        <v>5</v>
      </c>
      <c r="R528" s="2" t="n">
        <v>5</v>
      </c>
      <c r="S528" s="2" t="n"/>
      <c r="T528" s="2">
        <f>IF(OR(S528="",R528=0),"",ROUND(S528*R528,2))</f>
        <v/>
      </c>
      <c r="U528" s="2" t="inlineStr"/>
    </row>
    <row r="529">
      <c r="A529" s="2" t="inlineStr">
        <is>
          <t>J</t>
        </is>
      </c>
      <c r="B529" s="2" t="inlineStr">
        <is>
          <t>SUSPENDED CEILINGS</t>
        </is>
      </c>
      <c r="C529" s="2" t="inlineStr">
        <is>
          <t>E</t>
        </is>
      </c>
      <c r="D529" s="2" t="inlineStr">
        <is>
          <t>700mm high; ref. GC-100</t>
        </is>
      </c>
      <c r="E529" s="2" t="inlineStr">
        <is>
          <t>m</t>
        </is>
      </c>
      <c r="F529" s="2" t="n">
        <v>6</v>
      </c>
      <c r="G529" s="2" t="n">
        <v>6</v>
      </c>
      <c r="H529" s="2" t="n">
        <v>12</v>
      </c>
      <c r="I529" s="2" t="n">
        <v>12</v>
      </c>
      <c r="J529" s="2" t="n">
        <v>18</v>
      </c>
      <c r="K529" s="2" t="n">
        <v>18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  <c r="Q529" s="2" t="n">
        <v>72</v>
      </c>
      <c r="R529" s="2" t="n">
        <v>978</v>
      </c>
      <c r="S529" s="2" t="n"/>
      <c r="T529" s="2">
        <f>IF(OR(S529="",R529=0),"",ROUND(S529*R529,2))</f>
        <v/>
      </c>
      <c r="U529" s="2" t="inlineStr"/>
    </row>
    <row r="530">
      <c r="A530" s="2" t="inlineStr">
        <is>
          <t>J</t>
        </is>
      </c>
      <c r="B530" s="2" t="inlineStr">
        <is>
          <t>SUSPENDED CEILINGS</t>
        </is>
      </c>
      <c r="C530" s="2" t="inlineStr">
        <is>
          <t>E</t>
        </is>
      </c>
      <c r="D530" s="2" t="inlineStr">
        <is>
          <t>Size 80mm W x 50mm H, Ref. GC-101, to Gym</t>
        </is>
      </c>
      <c r="E530" s="2" t="inlineStr">
        <is>
          <t>m</t>
        </is>
      </c>
      <c r="F530" s="2" t="n">
        <v>0</v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47</v>
      </c>
      <c r="O530" s="2" t="n">
        <v>0</v>
      </c>
      <c r="P530" s="2" t="n">
        <v>0</v>
      </c>
      <c r="Q530" s="2" t="n">
        <v>47</v>
      </c>
      <c r="R530" s="2" t="n">
        <v>47</v>
      </c>
      <c r="S530" s="2" t="n"/>
      <c r="T530" s="2">
        <f>IF(OR(S530="",R530=0),"",ROUND(S530*R530,2))</f>
        <v/>
      </c>
      <c r="U530" s="2" t="inlineStr"/>
    </row>
    <row r="531">
      <c r="A531" s="2" t="inlineStr">
        <is>
          <t>J</t>
        </is>
      </c>
      <c r="B531" s="2" t="inlineStr">
        <is>
          <t>SUSPENDED CEILINGS</t>
        </is>
      </c>
      <c r="C531" s="2" t="inlineStr">
        <is>
          <t>E</t>
        </is>
      </c>
      <c r="D531" s="2" t="inlineStr">
        <is>
          <t>600x600mm; Motley - MY02 Nat Monterey;  to Stair Risers 150mm High</t>
        </is>
      </c>
      <c r="E531" s="2" t="inlineStr">
        <is>
          <t>m</t>
        </is>
      </c>
      <c r="F531" s="2" t="n">
        <v>7</v>
      </c>
      <c r="G531" s="2" t="n">
        <v>7</v>
      </c>
      <c r="H531" s="2" t="n">
        <v>7</v>
      </c>
      <c r="I531" s="2" t="n">
        <v>7</v>
      </c>
      <c r="J531" s="2" t="n">
        <v>7</v>
      </c>
      <c r="K531" s="2" t="n">
        <v>7</v>
      </c>
      <c r="L531" s="2" t="n">
        <v>4</v>
      </c>
      <c r="M531" s="2" t="n">
        <v>4</v>
      </c>
      <c r="N531" s="2" t="n">
        <v>0</v>
      </c>
      <c r="O531" s="2" t="n">
        <v>0</v>
      </c>
      <c r="P531" s="2" t="n">
        <v>0</v>
      </c>
      <c r="Q531" s="2" t="n">
        <v>50</v>
      </c>
      <c r="R531" s="2" t="n">
        <v>792</v>
      </c>
      <c r="S531" s="2" t="n"/>
      <c r="T531" s="2">
        <f>IF(OR(S531="",R531=0),"",ROUND(S531*R531,2))</f>
        <v/>
      </c>
      <c r="U531" s="2" t="inlineStr"/>
    </row>
    <row r="532">
      <c r="A532" s="2" t="inlineStr">
        <is>
          <t>J</t>
        </is>
      </c>
      <c r="B532" s="2" t="inlineStr">
        <is>
          <t>SUSPENDED CEILINGS</t>
        </is>
      </c>
      <c r="C532" s="2" t="inlineStr">
        <is>
          <t>E</t>
        </is>
      </c>
      <c r="D532" s="2" t="inlineStr">
        <is>
          <t>Ref. 02, Rendered paint finish rough texture Jotashield Decor traditional text smooth Jotashield Eterna-RAL 7039 (LRV=17.03%)</t>
        </is>
      </c>
      <c r="E532" s="2" t="inlineStr">
        <is>
          <t>m²</t>
        </is>
      </c>
      <c r="F532" s="2" t="n">
        <v>73</v>
      </c>
      <c r="G532" s="2" t="n">
        <v>54</v>
      </c>
      <c r="H532" s="2" t="n">
        <v>71</v>
      </c>
      <c r="I532" s="2" t="n">
        <v>113</v>
      </c>
      <c r="J532" s="2" t="n">
        <v>119</v>
      </c>
      <c r="K532" s="2" t="n">
        <v>79</v>
      </c>
      <c r="L532" s="2" t="n">
        <v>25</v>
      </c>
      <c r="M532" s="2" t="n">
        <v>23</v>
      </c>
      <c r="N532" s="2" t="n">
        <v>0</v>
      </c>
      <c r="O532" s="2" t="n">
        <v>0</v>
      </c>
      <c r="P532" s="2" t="n">
        <v>0</v>
      </c>
      <c r="Q532" s="2" t="n">
        <v>557</v>
      </c>
      <c r="R532" s="2" t="n">
        <v>8643</v>
      </c>
      <c r="S532" s="2" t="n"/>
      <c r="T532" s="2">
        <f>IF(OR(S532="",R532=0),"",ROUND(S532*R532,2))</f>
        <v/>
      </c>
      <c r="U532" s="2" t="inlineStr"/>
    </row>
    <row r="533">
      <c r="A533" s="2" t="inlineStr">
        <is>
          <t>J</t>
        </is>
      </c>
      <c r="B533" s="2" t="inlineStr">
        <is>
          <t>SUSPENDED CEILINGS</t>
        </is>
      </c>
      <c r="C533" s="2" t="inlineStr">
        <is>
          <t>F</t>
        </is>
      </c>
      <c r="D533" s="2" t="inlineStr">
        <is>
          <t>Ref. GC-102, moisture resistant gypsum, to ID areas at service block board with moisture resistance</t>
        </is>
      </c>
      <c r="E533" s="2" t="inlineStr">
        <is>
          <t>m²</t>
        </is>
      </c>
      <c r="F533" s="2" t="n">
        <v>0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74</v>
      </c>
      <c r="O533" s="2" t="n">
        <v>0</v>
      </c>
      <c r="P533" s="2" t="n">
        <v>0</v>
      </c>
      <c r="Q533" s="2" t="n">
        <v>74</v>
      </c>
      <c r="R533" s="2" t="n">
        <v>74</v>
      </c>
      <c r="S533" s="2" t="n"/>
      <c r="T533" s="2">
        <f>IF(OR(S533="",R533=0),"",ROUND(S533*R533,2))</f>
        <v/>
      </c>
      <c r="U533" s="2" t="inlineStr"/>
    </row>
    <row r="534">
      <c r="A534" s="2" t="inlineStr">
        <is>
          <t>J</t>
        </is>
      </c>
      <c r="B534" s="2" t="inlineStr">
        <is>
          <t>SUSPENDED CEILINGS</t>
        </is>
      </c>
      <c r="C534" s="2" t="inlineStr">
        <is>
          <t>F</t>
        </is>
      </c>
      <c r="D534" s="2" t="inlineStr">
        <is>
          <t>400mm high; ref. GC-102</t>
        </is>
      </c>
      <c r="E534" s="2" t="inlineStr">
        <is>
          <t>m</t>
        </is>
      </c>
      <c r="F534" s="2" t="n">
        <v>3</v>
      </c>
      <c r="G534" s="2" t="n">
        <v>3</v>
      </c>
      <c r="H534" s="2" t="n">
        <v>6</v>
      </c>
      <c r="I534" s="2" t="n">
        <v>6</v>
      </c>
      <c r="J534" s="2" t="n">
        <v>9</v>
      </c>
      <c r="K534" s="2" t="n">
        <v>9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  <c r="Q534" s="2" t="n">
        <v>36</v>
      </c>
      <c r="R534" s="2" t="n">
        <v>489</v>
      </c>
      <c r="S534" s="2" t="n"/>
      <c r="T534" s="2">
        <f>IF(OR(S534="",R534=0),"",ROUND(S534*R534,2))</f>
        <v/>
      </c>
      <c r="U534" s="2" t="inlineStr"/>
    </row>
    <row r="535">
      <c r="A535" s="2" t="inlineStr">
        <is>
          <t>J</t>
        </is>
      </c>
      <c r="B535" s="2" t="inlineStr">
        <is>
          <t>SUSPENDED CEILINGS</t>
        </is>
      </c>
      <c r="C535" s="2" t="inlineStr">
        <is>
          <t>F</t>
        </is>
      </c>
      <c r="D535" s="2" t="inlineStr">
        <is>
          <t>Ceiling Pelmet, Overall size 50mm W x 200mm H</t>
        </is>
      </c>
      <c r="E535" s="2" t="inlineStr">
        <is>
          <t>m</t>
        </is>
      </c>
      <c r="F535" s="2" t="n">
        <v>65</v>
      </c>
      <c r="G535" s="2" t="n">
        <v>65</v>
      </c>
      <c r="H535" s="2" t="n">
        <v>93</v>
      </c>
      <c r="I535" s="2" t="n">
        <v>93</v>
      </c>
      <c r="J535" s="2" t="n">
        <v>122</v>
      </c>
      <c r="K535" s="2" t="n">
        <v>122</v>
      </c>
      <c r="L535" s="2" t="n">
        <v>20</v>
      </c>
      <c r="M535" s="2" t="n">
        <v>20</v>
      </c>
      <c r="N535" s="2" t="n">
        <v>0</v>
      </c>
      <c r="O535" s="2" t="n">
        <v>0</v>
      </c>
      <c r="P535" s="2" t="n">
        <v>0</v>
      </c>
      <c r="Q535" s="2" t="n">
        <v>600</v>
      </c>
      <c r="R535" s="2" t="n">
        <v>8724</v>
      </c>
      <c r="S535" s="2" t="n"/>
      <c r="T535" s="2">
        <f>IF(OR(S535="",R535=0),"",ROUND(S535*R535,2))</f>
        <v/>
      </c>
      <c r="U535" s="2" t="inlineStr"/>
    </row>
    <row r="536">
      <c r="A536" s="2" t="inlineStr">
        <is>
          <t>J</t>
        </is>
      </c>
      <c r="B536" s="2" t="inlineStr">
        <is>
          <t>SUSPENDED CEILINGS</t>
        </is>
      </c>
      <c r="C536" s="2" t="inlineStr">
        <is>
          <t>F</t>
        </is>
      </c>
      <c r="D536" s="2" t="inlineStr">
        <is>
          <t>600x600mm; Elysian - EY 01 ST Mediterranea; to MEP Accessible Area at  Second Flr</t>
        </is>
      </c>
      <c r="E536" s="2" t="inlineStr">
        <is>
          <t>m²</t>
        </is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43</v>
      </c>
      <c r="M536" s="2" t="n">
        <v>44</v>
      </c>
      <c r="N536" s="2" t="n">
        <v>0</v>
      </c>
      <c r="O536" s="2" t="n">
        <v>0</v>
      </c>
      <c r="P536" s="2" t="n">
        <v>0</v>
      </c>
      <c r="Q536" s="2" t="n">
        <v>87</v>
      </c>
      <c r="R536" s="2" t="n">
        <v>1610</v>
      </c>
      <c r="S536" s="2" t="n"/>
      <c r="T536" s="2">
        <f>IF(OR(S536="",R536=0),"",ROUND(S536*R536,2))</f>
        <v/>
      </c>
      <c r="U536" s="2" t="inlineStr"/>
    </row>
    <row r="537">
      <c r="A537" s="2" t="inlineStr">
        <is>
          <t>J</t>
        </is>
      </c>
      <c r="B537" s="2" t="inlineStr">
        <is>
          <t>SUSPENDED CEILINGS</t>
        </is>
      </c>
      <c r="C537" s="2" t="inlineStr">
        <is>
          <t>F</t>
        </is>
      </c>
      <c r="D537" s="2" t="inlineStr">
        <is>
          <t>Ref. 02, Rendered paint finish rough texture jotashield décor traditional tex smooth jotashield eterna - Ral 7039 (LRV = 16.6%)</t>
        </is>
      </c>
      <c r="E537" s="2" t="inlineStr">
        <is>
          <t>m²</t>
        </is>
      </c>
      <c r="F537" s="2" t="n">
        <v>0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152</v>
      </c>
      <c r="O537" s="2" t="n">
        <v>0</v>
      </c>
      <c r="P537" s="2" t="n">
        <v>0</v>
      </c>
      <c r="Q537" s="2" t="n">
        <v>152</v>
      </c>
      <c r="R537" s="2" t="n">
        <v>152</v>
      </c>
      <c r="S537" s="2" t="n"/>
      <c r="T537" s="2">
        <f>IF(OR(S537="",R537=0),"",ROUND(S537*R537,2))</f>
        <v/>
      </c>
      <c r="U537" s="2" t="inlineStr"/>
    </row>
    <row r="538">
      <c r="A538" s="2" t="inlineStr">
        <is>
          <t>J</t>
        </is>
      </c>
      <c r="B538" s="2" t="inlineStr">
        <is>
          <t>SUSPENDED CEILINGS</t>
        </is>
      </c>
      <c r="C538" s="2" t="inlineStr">
        <is>
          <t>F</t>
        </is>
      </c>
      <c r="D538" s="2" t="inlineStr">
        <is>
          <t>Canopy finish shall be in gray paint color to match the aluminum RAL 7013.</t>
        </is>
      </c>
      <c r="E538" s="2" t="inlineStr">
        <is>
          <t>m²</t>
        </is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158</v>
      </c>
      <c r="O538" s="2" t="n">
        <v>0</v>
      </c>
      <c r="P538" s="2" t="n">
        <v>0</v>
      </c>
      <c r="Q538" s="2" t="n">
        <v>158</v>
      </c>
      <c r="R538" s="2" t="n">
        <v>158</v>
      </c>
      <c r="S538" s="2" t="n"/>
      <c r="T538" s="2">
        <f>IF(OR(S538="",R538=0),"",ROUND(S538*R538,2))</f>
        <v/>
      </c>
      <c r="U538" s="2" t="inlineStr"/>
    </row>
    <row r="539">
      <c r="A539" s="2" t="inlineStr">
        <is>
          <t>J</t>
        </is>
      </c>
      <c r="B539" s="2" t="inlineStr">
        <is>
          <t>SUSPENDED CEILINGS</t>
        </is>
      </c>
      <c r="C539" s="2" t="inlineStr">
        <is>
          <t>G</t>
        </is>
      </c>
      <c r="D539" s="2" t="inlineStr">
        <is>
          <t>Ref. CB-01, 12.5mm thick, Moisture Resistant Gypsum Board</t>
        </is>
      </c>
      <c r="E539" s="2" t="inlineStr">
        <is>
          <t>m²</t>
        </is>
      </c>
      <c r="F539" s="2" t="n">
        <v>0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3</v>
      </c>
      <c r="P539" s="2" t="n">
        <v>0</v>
      </c>
      <c r="Q539" s="2" t="n">
        <v>3</v>
      </c>
      <c r="R539" s="2" t="n">
        <v>3</v>
      </c>
      <c r="S539" s="2" t="n"/>
      <c r="T539" s="2">
        <f>IF(OR(S539="",R539=0),"",ROUND(S539*R539,2))</f>
        <v/>
      </c>
      <c r="U539" s="2" t="inlineStr"/>
    </row>
    <row r="540">
      <c r="A540" s="2" t="inlineStr">
        <is>
          <t>J</t>
        </is>
      </c>
      <c r="B540" s="2" t="inlineStr">
        <is>
          <t>SUSPENDED CEILINGS</t>
        </is>
      </c>
      <c r="C540" s="2" t="inlineStr">
        <is>
          <t>G</t>
        </is>
      </c>
      <c r="D540" s="2" t="inlineStr">
        <is>
          <t>Access Panel, size 250x250mm</t>
        </is>
      </c>
      <c r="E540" s="2" t="inlineStr">
        <is>
          <t>No</t>
        </is>
      </c>
      <c r="F540" s="2" t="n">
        <v>2</v>
      </c>
      <c r="G540" s="2" t="n">
        <v>2</v>
      </c>
      <c r="H540" s="2" t="n">
        <v>4</v>
      </c>
      <c r="I540" s="2" t="n">
        <v>4</v>
      </c>
      <c r="J540" s="2" t="n">
        <v>6</v>
      </c>
      <c r="K540" s="2" t="n">
        <v>6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0</v>
      </c>
      <c r="Q540" s="2" t="n">
        <v>24</v>
      </c>
      <c r="R540" s="2" t="n">
        <v>326</v>
      </c>
      <c r="S540" s="2" t="n"/>
      <c r="T540" s="2">
        <f>IF(OR(S540="",R540=0),"",ROUND(S540*R540,2))</f>
        <v/>
      </c>
      <c r="U540" s="2" t="inlineStr"/>
    </row>
    <row r="541">
      <c r="A541" s="2" t="inlineStr">
        <is>
          <t>J</t>
        </is>
      </c>
      <c r="B541" s="2" t="inlineStr">
        <is>
          <t>SUSPENDED CEILINGS</t>
        </is>
      </c>
      <c r="C541" s="2" t="inlineStr">
        <is>
          <t>G</t>
        </is>
      </c>
      <c r="D541" s="2" t="inlineStr">
        <is>
          <t>UV resistant, 1-component aliphatic polyurethane top coat, to external side  non accessible area</t>
        </is>
      </c>
      <c r="E541" s="2" t="inlineStr">
        <is>
          <t>m²</t>
        </is>
      </c>
      <c r="F541" s="2" t="n">
        <v>21</v>
      </c>
      <c r="G541" s="2" t="n">
        <v>31</v>
      </c>
      <c r="H541" s="2" t="n">
        <v>29</v>
      </c>
      <c r="I541" s="2" t="n">
        <v>45</v>
      </c>
      <c r="J541" s="2" t="n">
        <v>39</v>
      </c>
      <c r="K541" s="2" t="n">
        <v>57</v>
      </c>
      <c r="L541" s="2" t="n">
        <v>22</v>
      </c>
      <c r="M541" s="2" t="n">
        <v>30</v>
      </c>
      <c r="N541" s="2" t="n">
        <v>0</v>
      </c>
      <c r="O541" s="2" t="n">
        <v>0</v>
      </c>
      <c r="P541" s="2" t="n">
        <v>0</v>
      </c>
      <c r="Q541" s="2" t="n">
        <v>274</v>
      </c>
      <c r="R541" s="2" t="n">
        <v>4152</v>
      </c>
      <c r="S541" s="2" t="n"/>
      <c r="T541" s="2">
        <f>IF(OR(S541="",R541=0),"",ROUND(S541*R541,2))</f>
        <v/>
      </c>
      <c r="U541" s="2" t="inlineStr"/>
    </row>
    <row r="542">
      <c r="A542" s="2" t="inlineStr">
        <is>
          <t>J</t>
        </is>
      </c>
      <c r="B542" s="2" t="inlineStr">
        <is>
          <t>SUSPENDED CEILINGS</t>
        </is>
      </c>
      <c r="C542" s="2" t="inlineStr">
        <is>
          <t>G</t>
        </is>
      </c>
      <c r="D542" s="2" t="inlineStr">
        <is>
          <t>Ref. 03, Rendered paint finish rough texture Jotashield Decor travertine waterfall Jotashield Eterna- 10182, Jotashield decor glaze - 1233 (LRV=59.44%)</t>
        </is>
      </c>
      <c r="E542" s="2" t="inlineStr">
        <is>
          <t>m²</t>
        </is>
      </c>
      <c r="F542" s="2" t="n">
        <v>333</v>
      </c>
      <c r="G542" s="2" t="n">
        <v>111</v>
      </c>
      <c r="H542" s="2" t="n">
        <v>352</v>
      </c>
      <c r="I542" s="2" t="n">
        <v>140</v>
      </c>
      <c r="J542" s="2" t="n">
        <v>439</v>
      </c>
      <c r="K542" s="2" t="n">
        <v>162</v>
      </c>
      <c r="L542" s="2" t="n">
        <v>25</v>
      </c>
      <c r="M542" s="2" t="n">
        <v>23</v>
      </c>
      <c r="N542" s="2" t="n">
        <v>0</v>
      </c>
      <c r="O542" s="2" t="n">
        <v>0</v>
      </c>
      <c r="P542" s="2" t="n">
        <v>0</v>
      </c>
      <c r="Q542" s="2" t="n">
        <v>1585</v>
      </c>
      <c r="R542" s="2" t="n">
        <v>23593</v>
      </c>
      <c r="S542" s="2" t="n"/>
      <c r="T542" s="2">
        <f>IF(OR(S542="",R542=0),"",ROUND(S542*R542,2))</f>
        <v/>
      </c>
      <c r="U542" s="2" t="inlineStr"/>
    </row>
    <row r="543">
      <c r="A543" s="2" t="inlineStr">
        <is>
          <t>J</t>
        </is>
      </c>
      <c r="B543" s="2" t="inlineStr">
        <is>
          <t>SUSPENDED CEILINGS</t>
        </is>
      </c>
      <c r="C543" s="2" t="inlineStr">
        <is>
          <t>H</t>
        </is>
      </c>
      <c r="D543" s="2" t="inlineStr">
        <is>
          <t>Ref. GC-101, Gypsum Board Ceiling, to Community Hall</t>
        </is>
      </c>
      <c r="E543" s="2" t="inlineStr">
        <is>
          <t>m²</t>
        </is>
      </c>
      <c r="F543" s="2" t="n">
        <v>0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108</v>
      </c>
      <c r="O543" s="2" t="n">
        <v>0</v>
      </c>
      <c r="P543" s="2" t="n">
        <v>0</v>
      </c>
      <c r="Q543" s="2" t="n">
        <v>108</v>
      </c>
      <c r="R543" s="2" t="n">
        <v>108</v>
      </c>
      <c r="S543" s="2" t="n"/>
      <c r="T543" s="2">
        <f>IF(OR(S543="",R543=0),"",ROUND(S543*R543,2))</f>
        <v/>
      </c>
      <c r="U543" s="2" t="inlineStr"/>
    </row>
    <row r="544">
      <c r="A544" s="2" t="inlineStr">
        <is>
          <t>J</t>
        </is>
      </c>
      <c r="B544" s="2" t="inlineStr">
        <is>
          <t>SUSPENDED CEILINGS</t>
        </is>
      </c>
      <c r="C544" s="2" t="inlineStr">
        <is>
          <t>H</t>
        </is>
      </c>
      <c r="D544" s="2" t="inlineStr">
        <is>
          <t>600mm high; ref. GC-102</t>
        </is>
      </c>
      <c r="E544" s="2" t="inlineStr">
        <is>
          <t>m</t>
        </is>
      </c>
      <c r="F544" s="2" t="n">
        <v>6</v>
      </c>
      <c r="G544" s="2" t="n">
        <v>6</v>
      </c>
      <c r="H544" s="2" t="n">
        <v>6</v>
      </c>
      <c r="I544" s="2" t="n">
        <v>6</v>
      </c>
      <c r="J544" s="2" t="n">
        <v>6</v>
      </c>
      <c r="K544" s="2" t="n">
        <v>6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0</v>
      </c>
      <c r="Q544" s="2" t="n">
        <v>36</v>
      </c>
      <c r="R544" s="2" t="n">
        <v>552</v>
      </c>
      <c r="S544" s="2" t="n"/>
      <c r="T544" s="2">
        <f>IF(OR(S544="",R544=0),"",ROUND(S544*R544,2))</f>
        <v/>
      </c>
      <c r="U544" s="2" t="inlineStr"/>
    </row>
    <row r="545">
      <c r="A545" s="2" t="inlineStr">
        <is>
          <t>J</t>
        </is>
      </c>
      <c r="B545" s="2" t="inlineStr">
        <is>
          <t>SUSPENDED CEILINGS</t>
        </is>
      </c>
      <c r="C545" s="2" t="inlineStr">
        <is>
          <t>H</t>
        </is>
      </c>
      <c r="D545" s="2" t="inlineStr">
        <is>
          <t>Access Panel, size 300x300mm</t>
        </is>
      </c>
      <c r="E545" s="2" t="inlineStr">
        <is>
          <t>No</t>
        </is>
      </c>
      <c r="F545" s="2" t="n">
        <v>6</v>
      </c>
      <c r="G545" s="2" t="n">
        <v>6</v>
      </c>
      <c r="H545" s="2" t="n">
        <v>10</v>
      </c>
      <c r="I545" s="2" t="n">
        <v>10</v>
      </c>
      <c r="J545" s="2" t="n">
        <v>14</v>
      </c>
      <c r="K545" s="2" t="n">
        <v>14</v>
      </c>
      <c r="L545" s="2" t="n">
        <v>1</v>
      </c>
      <c r="M545" s="2" t="n">
        <v>1</v>
      </c>
      <c r="N545" s="2" t="n">
        <v>3</v>
      </c>
      <c r="O545" s="2" t="n">
        <v>0</v>
      </c>
      <c r="P545" s="2" t="n">
        <v>0</v>
      </c>
      <c r="Q545" s="2" t="n">
        <v>65</v>
      </c>
      <c r="R545" s="2" t="n">
        <v>876</v>
      </c>
      <c r="S545" s="2" t="n"/>
      <c r="T545" s="2">
        <f>IF(OR(S545="",R545=0),"",ROUND(S545*R545,2))</f>
        <v/>
      </c>
      <c r="U545" s="2" t="inlineStr"/>
    </row>
    <row r="546">
      <c r="A546" s="2" t="inlineStr">
        <is>
          <t>J</t>
        </is>
      </c>
      <c r="B546" s="2" t="inlineStr">
        <is>
          <t>SUSPENDED CEILINGS</t>
        </is>
      </c>
      <c r="C546" s="2" t="inlineStr">
        <is>
          <t>H</t>
        </is>
      </c>
      <c r="D546" s="2" t="inlineStr">
        <is>
          <t>UV resistant, 1-component aliphatic polyurethane top coat, to carport roof,   garage roof</t>
        </is>
      </c>
      <c r="E546" s="2" t="inlineStr">
        <is>
          <t>m²</t>
        </is>
      </c>
      <c r="F546" s="2" t="n">
        <v>131</v>
      </c>
      <c r="G546" s="2" t="n">
        <v>129</v>
      </c>
      <c r="H546" s="2" t="n">
        <v>182</v>
      </c>
      <c r="I546" s="2" t="n">
        <v>176</v>
      </c>
      <c r="J546" s="2" t="n">
        <v>246</v>
      </c>
      <c r="K546" s="2" t="n">
        <v>235</v>
      </c>
      <c r="L546" s="2" t="n">
        <v>47</v>
      </c>
      <c r="M546" s="2" t="n">
        <v>47</v>
      </c>
      <c r="N546" s="2" t="n">
        <v>0</v>
      </c>
      <c r="O546" s="2" t="n">
        <v>0</v>
      </c>
      <c r="P546" s="2" t="n">
        <v>0</v>
      </c>
      <c r="Q546" s="2" t="n">
        <v>1193</v>
      </c>
      <c r="R546" s="2" t="n">
        <v>17373</v>
      </c>
      <c r="S546" s="2" t="n"/>
      <c r="T546" s="2">
        <f>IF(OR(S546="",R546=0),"",ROUND(S546*R546,2))</f>
        <v/>
      </c>
      <c r="U546" s="2" t="inlineStr"/>
    </row>
    <row r="547">
      <c r="A547" s="2" t="inlineStr">
        <is>
          <t>J</t>
        </is>
      </c>
      <c r="B547" s="2" t="inlineStr">
        <is>
          <t>SUSPENDED CEILINGS</t>
        </is>
      </c>
      <c r="C547" s="2" t="inlineStr">
        <is>
          <t>H</t>
        </is>
      </c>
      <c r="D547" s="2" t="inlineStr">
        <is>
          <t>Ref. PT-106, Two component epoxy wall coating with UV-resistant polyurethane top coat, semi gloss finish suitable for external application</t>
        </is>
      </c>
      <c r="E547" s="2" t="inlineStr">
        <is>
          <t>m²</t>
        </is>
      </c>
      <c r="F547" s="2" t="n">
        <v>0</v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22</v>
      </c>
      <c r="P547" s="2" t="n">
        <v>0</v>
      </c>
      <c r="Q547" s="2" t="n">
        <v>22</v>
      </c>
      <c r="R547" s="2" t="n">
        <v>22</v>
      </c>
      <c r="S547" s="2" t="n"/>
      <c r="T547" s="2">
        <f>IF(OR(S547="",R547=0),"",ROUND(S547*R547,2))</f>
        <v/>
      </c>
      <c r="U547" s="2" t="inlineStr"/>
    </row>
    <row r="548">
      <c r="A548" s="2" t="inlineStr">
        <is>
          <t>J</t>
        </is>
      </c>
      <c r="B548" s="2" t="inlineStr">
        <is>
          <t>SUSPENDED CEILINGS</t>
        </is>
      </c>
      <c r="C548" s="2" t="inlineStr">
        <is>
          <t>J</t>
        </is>
      </c>
      <c r="D548" s="2" t="inlineStr">
        <is>
          <t>Ref. GC-101, Gypsum Board Ceiling, with MDF support, to receive curtain, to Community Hall</t>
        </is>
      </c>
      <c r="E548" s="2" t="inlineStr">
        <is>
          <t>m²</t>
        </is>
      </c>
      <c r="F548" s="2" t="n">
        <v>0</v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12</v>
      </c>
      <c r="O548" s="2" t="n">
        <v>0</v>
      </c>
      <c r="P548" s="2" t="n">
        <v>0</v>
      </c>
      <c r="Q548" s="2" t="n">
        <v>12</v>
      </c>
      <c r="R548" s="2" t="n">
        <v>12</v>
      </c>
      <c r="S548" s="2" t="n"/>
      <c r="T548" s="2">
        <f>IF(OR(S548="",R548=0),"",ROUND(S548*R548,2))</f>
        <v/>
      </c>
      <c r="U548" s="2" t="inlineStr"/>
    </row>
    <row r="549">
      <c r="A549" s="2" t="inlineStr">
        <is>
          <t>J</t>
        </is>
      </c>
      <c r="B549" s="2" t="inlineStr">
        <is>
          <t>SUSPENDED CEILINGS</t>
        </is>
      </c>
      <c r="C549" s="2" t="inlineStr">
        <is>
          <t>J</t>
        </is>
      </c>
      <c r="D549" s="2" t="inlineStr">
        <is>
          <t>100mm high; ref. GC-100</t>
        </is>
      </c>
      <c r="E549" s="2" t="inlineStr">
        <is>
          <t>m</t>
        </is>
      </c>
      <c r="F549" s="2" t="n">
        <v>0</v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4</v>
      </c>
      <c r="M549" s="2" t="n">
        <v>4</v>
      </c>
      <c r="N549" s="2" t="n">
        <v>0</v>
      </c>
      <c r="O549" s="2" t="n">
        <v>0</v>
      </c>
      <c r="P549" s="2" t="n">
        <v>0</v>
      </c>
      <c r="Q549" s="2" t="n">
        <v>8</v>
      </c>
      <c r="R549" s="2" t="n">
        <v>148</v>
      </c>
      <c r="S549" s="2" t="n"/>
      <c r="T549" s="2">
        <f>IF(OR(S549="",R549=0),"",ROUND(S549*R549,2))</f>
        <v/>
      </c>
      <c r="U549" s="2" t="inlineStr"/>
    </row>
    <row r="550">
      <c r="A550" s="2" t="inlineStr">
        <is>
          <t>J</t>
        </is>
      </c>
      <c r="B550" s="2" t="inlineStr">
        <is>
          <t>SUSPENDED CEILINGS</t>
        </is>
      </c>
      <c r="C550" s="2" t="inlineStr">
        <is>
          <t>J</t>
        </is>
      </c>
      <c r="D550" s="2" t="inlineStr">
        <is>
          <t>Access Panel, size 450x450mm</t>
        </is>
      </c>
      <c r="E550" s="2" t="inlineStr">
        <is>
          <t>No</t>
        </is>
      </c>
      <c r="F550" s="2" t="n">
        <v>10</v>
      </c>
      <c r="G550" s="2" t="n">
        <v>10</v>
      </c>
      <c r="H550" s="2" t="n">
        <v>16</v>
      </c>
      <c r="I550" s="2" t="n">
        <v>16</v>
      </c>
      <c r="J550" s="2" t="n">
        <v>22</v>
      </c>
      <c r="K550" s="2" t="n">
        <v>22</v>
      </c>
      <c r="L550" s="2" t="n">
        <v>5</v>
      </c>
      <c r="M550" s="2" t="n">
        <v>5</v>
      </c>
      <c r="N550" s="2" t="n">
        <v>0</v>
      </c>
      <c r="O550" s="2" t="n">
        <v>0</v>
      </c>
      <c r="P550" s="2" t="n">
        <v>0</v>
      </c>
      <c r="Q550" s="2" t="n">
        <v>106</v>
      </c>
      <c r="R550" s="2" t="n">
        <v>1531</v>
      </c>
      <c r="S550" s="2" t="n"/>
      <c r="T550" s="2">
        <f>IF(OR(S550="",R550=0),"",ROUND(S550*R550,2))</f>
        <v/>
      </c>
      <c r="U550" s="2" t="inlineStr"/>
    </row>
    <row r="551">
      <c r="A551" s="2" t="inlineStr">
        <is>
          <t>J</t>
        </is>
      </c>
      <c r="B551" s="2" t="inlineStr">
        <is>
          <t>SUSPENDED CEILINGS</t>
        </is>
      </c>
      <c r="C551" s="2" t="inlineStr">
        <is>
          <t>J</t>
        </is>
      </c>
      <c r="D551" s="2" t="inlineStr">
        <is>
          <t>UV resistant, 1-component aliphatic polyurethane top coat, to garbage roof</t>
        </is>
      </c>
      <c r="E551" s="2" t="inlineStr">
        <is>
          <t>m²</t>
        </is>
      </c>
      <c r="F551" s="2" t="n">
        <v>5</v>
      </c>
      <c r="G551" s="2" t="n">
        <v>5</v>
      </c>
      <c r="H551" s="2" t="n">
        <v>5</v>
      </c>
      <c r="I551" s="2" t="n">
        <v>5</v>
      </c>
      <c r="J551" s="2" t="n">
        <v>5</v>
      </c>
      <c r="K551" s="2" t="n">
        <v>5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0</v>
      </c>
      <c r="Q551" s="2" t="n">
        <v>30</v>
      </c>
      <c r="R551" s="2" t="n">
        <v>460</v>
      </c>
      <c r="S551" s="2" t="n"/>
      <c r="T551" s="2">
        <f>IF(OR(S551="",R551=0),"",ROUND(S551*R551,2))</f>
        <v/>
      </c>
      <c r="U551" s="2" t="inlineStr"/>
    </row>
    <row r="552">
      <c r="A552" s="2" t="inlineStr">
        <is>
          <t>J</t>
        </is>
      </c>
      <c r="B552" s="2" t="inlineStr">
        <is>
          <t>SUSPENDED CEILINGS</t>
        </is>
      </c>
      <c r="C552" s="2" t="inlineStr">
        <is>
          <t>J</t>
        </is>
      </c>
      <c r="D552" s="2" t="inlineStr">
        <is>
          <t>Ref. 05, Powder coated 20mm thick C-Channel groove (RAL 9010)</t>
        </is>
      </c>
      <c r="E552" s="2" t="inlineStr">
        <is>
          <t>m</t>
        </is>
      </c>
      <c r="F552" s="2" t="n">
        <v>0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11</v>
      </c>
      <c r="P552" s="2" t="n">
        <v>0</v>
      </c>
      <c r="Q552" s="2" t="n">
        <v>11</v>
      </c>
      <c r="R552" s="2" t="n">
        <v>11</v>
      </c>
      <c r="S552" s="2" t="n"/>
      <c r="T552" s="2">
        <f>IF(OR(S552="",R552=0),"",ROUND(S552*R552,2))</f>
        <v/>
      </c>
      <c r="U552" s="2" t="inlineStr"/>
    </row>
    <row r="553">
      <c r="A553" s="2" t="inlineStr">
        <is>
          <t>J</t>
        </is>
      </c>
      <c r="B553" s="2" t="inlineStr">
        <is>
          <t>SUSPENDED CEILINGS</t>
        </is>
      </c>
      <c r="C553" s="2" t="inlineStr">
        <is>
          <t>K</t>
        </is>
      </c>
      <c r="D553" s="2" t="inlineStr">
        <is>
          <t>Ref. GC-101, gypsum board, to GYM</t>
        </is>
      </c>
      <c r="E553" s="2" t="inlineStr">
        <is>
          <t>m²</t>
        </is>
      </c>
      <c r="F553" s="2" t="n">
        <v>0</v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239</v>
      </c>
      <c r="O553" s="2" t="n">
        <v>0</v>
      </c>
      <c r="P553" s="2" t="n">
        <v>0</v>
      </c>
      <c r="Q553" s="2" t="n">
        <v>239</v>
      </c>
      <c r="R553" s="2" t="n">
        <v>239</v>
      </c>
      <c r="S553" s="2" t="n"/>
      <c r="T553" s="2">
        <f>IF(OR(S553="",R553=0),"",ROUND(S553*R553,2))</f>
        <v/>
      </c>
      <c r="U553" s="2" t="inlineStr"/>
    </row>
    <row r="554">
      <c r="A554" s="2" t="inlineStr">
        <is>
          <t>J</t>
        </is>
      </c>
      <c r="B554" s="2" t="inlineStr">
        <is>
          <t>SUSPENDED CEILINGS</t>
        </is>
      </c>
      <c r="C554" s="2" t="inlineStr">
        <is>
          <t>K</t>
        </is>
      </c>
      <c r="D554" s="2" t="inlineStr">
        <is>
          <t>230mm high; ref. GC-100</t>
        </is>
      </c>
      <c r="E554" s="2" t="inlineStr">
        <is>
          <t>m</t>
        </is>
      </c>
      <c r="F554" s="2" t="n">
        <v>0</v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8</v>
      </c>
      <c r="M554" s="2" t="n">
        <v>8</v>
      </c>
      <c r="N554" s="2" t="n">
        <v>0</v>
      </c>
      <c r="O554" s="2" t="n">
        <v>0</v>
      </c>
      <c r="P554" s="2" t="n">
        <v>0</v>
      </c>
      <c r="Q554" s="2" t="n">
        <v>16</v>
      </c>
      <c r="R554" s="2" t="n">
        <v>296</v>
      </c>
      <c r="S554" s="2" t="n"/>
      <c r="T554" s="2">
        <f>IF(OR(S554="",R554=0),"",ROUND(S554*R554,2))</f>
        <v/>
      </c>
      <c r="U554" s="2" t="inlineStr"/>
    </row>
    <row r="555">
      <c r="A555" s="2" t="inlineStr">
        <is>
          <t>J</t>
        </is>
      </c>
      <c r="B555" s="2" t="inlineStr">
        <is>
          <t>SUSPENDED CEILINGS</t>
        </is>
      </c>
      <c r="C555" s="2" t="inlineStr">
        <is>
          <t>K</t>
        </is>
      </c>
      <c r="D555" s="2" t="inlineStr">
        <is>
          <t>Access Panel, size 500x400mm to Lift cabin</t>
        </is>
      </c>
      <c r="E555" s="2" t="inlineStr">
        <is>
          <t>No</t>
        </is>
      </c>
      <c r="F555" s="2" t="n">
        <v>0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1</v>
      </c>
      <c r="M555" s="2" t="n">
        <v>1</v>
      </c>
      <c r="N555" s="2" t="n">
        <v>0</v>
      </c>
      <c r="O555" s="2" t="n">
        <v>0</v>
      </c>
      <c r="P555" s="2" t="n">
        <v>0</v>
      </c>
      <c r="Q555" s="2" t="n">
        <v>2</v>
      </c>
      <c r="R555" s="2" t="n">
        <v>37</v>
      </c>
      <c r="S555" s="2" t="n"/>
      <c r="T555" s="2">
        <f>IF(OR(S555="",R555=0),"",ROUND(S555*R555,2))</f>
        <v/>
      </c>
      <c r="U555" s="2" t="inlineStr"/>
    </row>
    <row r="556">
      <c r="A556" s="2" t="inlineStr">
        <is>
          <t>J</t>
        </is>
      </c>
      <c r="B556" s="2" t="inlineStr">
        <is>
          <t>SUSPENDED CEILINGS</t>
        </is>
      </c>
      <c r="C556" s="2" t="inlineStr">
        <is>
          <t>K</t>
        </is>
      </c>
      <c r="D556" s="2" t="inlineStr">
        <is>
          <t>UV resistant, 1-component aliphatic polyurethane top coat, to roof concrete canopy</t>
        </is>
      </c>
      <c r="E556" s="2" t="inlineStr">
        <is>
          <t>m²</t>
        </is>
      </c>
      <c r="F556" s="2" t="n">
        <v>106</v>
      </c>
      <c r="G556" s="2" t="n">
        <v>0</v>
      </c>
      <c r="H556" s="2" t="n">
        <v>188</v>
      </c>
      <c r="I556" s="2" t="n">
        <v>0</v>
      </c>
      <c r="J556" s="2" t="n">
        <v>210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  <c r="Q556" s="2" t="n">
        <v>504</v>
      </c>
      <c r="R556" s="2" t="n">
        <v>7124</v>
      </c>
      <c r="S556" s="2" t="n"/>
      <c r="T556" s="2">
        <f>IF(OR(S556="",R556=0),"",ROUND(S556*R556,2))</f>
        <v/>
      </c>
      <c r="U556" s="2" t="inlineStr"/>
    </row>
    <row r="557">
      <c r="A557" s="2" t="inlineStr">
        <is>
          <t>J</t>
        </is>
      </c>
      <c r="B557" s="2" t="inlineStr">
        <is>
          <t>SUSPENDED CEILINGS</t>
        </is>
      </c>
      <c r="C557" s="2" t="inlineStr">
        <is>
          <t>L</t>
        </is>
      </c>
      <c r="D557" s="2" t="inlineStr">
        <is>
          <t>330mm high; ref. GC-100</t>
        </is>
      </c>
      <c r="E557" s="2" t="inlineStr">
        <is>
          <t>m</t>
        </is>
      </c>
      <c r="F557" s="2" t="n">
        <v>0</v>
      </c>
      <c r="G557" s="2" t="n">
        <v>0</v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10</v>
      </c>
      <c r="M557" s="2" t="n">
        <v>10</v>
      </c>
      <c r="N557" s="2" t="n">
        <v>0</v>
      </c>
      <c r="O557" s="2" t="n">
        <v>0</v>
      </c>
      <c r="P557" s="2" t="n">
        <v>0</v>
      </c>
      <c r="Q557" s="2" t="n">
        <v>20</v>
      </c>
      <c r="R557" s="2" t="n">
        <v>370</v>
      </c>
      <c r="S557" s="2" t="n"/>
      <c r="T557" s="2">
        <f>IF(OR(S557="",R557=0),"",ROUND(S557*R557,2))</f>
        <v/>
      </c>
      <c r="U557" s="2" t="inlineStr"/>
    </row>
    <row r="558">
      <c r="A558" s="2" t="inlineStr">
        <is>
          <t>J</t>
        </is>
      </c>
      <c r="B558" s="2" t="inlineStr">
        <is>
          <t>SUSPENDED CEILINGS</t>
        </is>
      </c>
      <c r="C558" s="2" t="inlineStr">
        <is>
          <t>L</t>
        </is>
      </c>
      <c r="D558" s="2" t="inlineStr">
        <is>
          <t>Access Panel, size 600x600mm</t>
        </is>
      </c>
      <c r="E558" s="2" t="inlineStr">
        <is>
          <t>No</t>
        </is>
      </c>
      <c r="F558" s="2" t="n">
        <v>16</v>
      </c>
      <c r="G558" s="2" t="n">
        <v>16</v>
      </c>
      <c r="H558" s="2" t="n">
        <v>22</v>
      </c>
      <c r="I558" s="2" t="n">
        <v>22</v>
      </c>
      <c r="J558" s="2" t="n">
        <v>28</v>
      </c>
      <c r="K558" s="2" t="n">
        <v>28</v>
      </c>
      <c r="L558" s="2" t="n">
        <v>7</v>
      </c>
      <c r="M558" s="2" t="n">
        <v>7</v>
      </c>
      <c r="N558" s="2" t="n">
        <v>11</v>
      </c>
      <c r="O558" s="2" t="n">
        <v>0</v>
      </c>
      <c r="P558" s="2" t="n">
        <v>0</v>
      </c>
      <c r="Q558" s="2" t="n">
        <v>157</v>
      </c>
      <c r="R558" s="2" t="n">
        <v>2168</v>
      </c>
      <c r="S558" s="2" t="n"/>
      <c r="T558" s="2">
        <f>IF(OR(S558="",R558=0),"",ROUND(S558*R558,2))</f>
        <v/>
      </c>
      <c r="U558" s="2" t="inlineStr"/>
    </row>
    <row r="559">
      <c r="A559" s="2" t="inlineStr">
        <is>
          <t>J</t>
        </is>
      </c>
      <c r="B559" s="2" t="inlineStr">
        <is>
          <t>SUSPENDED CEILINGS</t>
        </is>
      </c>
      <c r="C559" s="2" t="inlineStr">
        <is>
          <t>L</t>
        </is>
      </c>
      <c r="D559" s="2" t="inlineStr">
        <is>
          <t>Ref. CT-102 Two component solvent-free UV resistant polyurethane epoxy with a built up of 1.5mm suitable for external applications</t>
        </is>
      </c>
      <c r="E559" s="2" t="inlineStr">
        <is>
          <t>m²</t>
        </is>
      </c>
      <c r="F559" s="2" t="n">
        <v>0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3</v>
      </c>
      <c r="P559" s="2" t="n">
        <v>0</v>
      </c>
      <c r="Q559" s="2" t="n">
        <v>3</v>
      </c>
      <c r="R559" s="2" t="n">
        <v>3</v>
      </c>
      <c r="S559" s="2" t="n"/>
      <c r="T559" s="2">
        <f>IF(OR(S559="",R559=0),"",ROUND(S559*R559,2))</f>
        <v/>
      </c>
      <c r="U559" s="2" t="inlineStr"/>
    </row>
    <row r="560">
      <c r="A560" s="2" t="inlineStr">
        <is>
          <t>J</t>
        </is>
      </c>
      <c r="B560" s="2" t="inlineStr">
        <is>
          <t>SUSPENDED CEILINGS</t>
        </is>
      </c>
      <c r="C560" s="2" t="inlineStr">
        <is>
          <t>M</t>
        </is>
      </c>
      <c r="D560" s="2" t="inlineStr">
        <is>
          <t>380mm high; ref. GC-100</t>
        </is>
      </c>
      <c r="E560" s="2" t="inlineStr">
        <is>
          <t>m</t>
        </is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4</v>
      </c>
      <c r="M560" s="2" t="n">
        <v>4</v>
      </c>
      <c r="N560" s="2" t="n">
        <v>0</v>
      </c>
      <c r="O560" s="2" t="n">
        <v>0</v>
      </c>
      <c r="P560" s="2" t="n">
        <v>0</v>
      </c>
      <c r="Q560" s="2" t="n">
        <v>8</v>
      </c>
      <c r="R560" s="2" t="n">
        <v>148</v>
      </c>
      <c r="S560" s="2" t="n"/>
      <c r="T560" s="2">
        <f>IF(OR(S560="",R560=0),"",ROUND(S560*R560,2))</f>
        <v/>
      </c>
      <c r="U560" s="2" t="inlineStr"/>
    </row>
    <row r="561">
      <c r="A561" s="2" t="inlineStr">
        <is>
          <t>J</t>
        </is>
      </c>
      <c r="B561" s="2" t="inlineStr">
        <is>
          <t>SUSPENDED CEILINGS</t>
        </is>
      </c>
      <c r="C561" s="2" t="inlineStr">
        <is>
          <t>M</t>
        </is>
      </c>
      <c r="D561" s="2" t="inlineStr">
        <is>
          <t>Access Panel, size 800x800mm</t>
        </is>
      </c>
      <c r="E561" s="2" t="inlineStr">
        <is>
          <t>No</t>
        </is>
      </c>
      <c r="F561" s="2" t="n">
        <v>0</v>
      </c>
      <c r="G561" s="2" t="n">
        <v>0</v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1</v>
      </c>
      <c r="P561" s="2" t="n">
        <v>0</v>
      </c>
      <c r="Q561" s="2" t="n">
        <v>1</v>
      </c>
      <c r="R561" s="2" t="n">
        <v>1</v>
      </c>
      <c r="S561" s="2" t="n"/>
      <c r="T561" s="2">
        <f>IF(OR(S561="",R561=0),"",ROUND(S561*R561,2))</f>
        <v/>
      </c>
      <c r="U561" s="2" t="inlineStr"/>
    </row>
    <row r="562">
      <c r="A562" s="2" t="inlineStr">
        <is>
          <t>J</t>
        </is>
      </c>
      <c r="B562" s="2" t="inlineStr">
        <is>
          <t>SUSPENDED CEILINGS</t>
        </is>
      </c>
      <c r="C562" s="2" t="inlineStr">
        <is>
          <t>M</t>
        </is>
      </c>
      <c r="D562" s="2" t="inlineStr">
        <is>
          <t>Ref. TH-100, Porcelain tile matt threshold, 240mm wide</t>
        </is>
      </c>
      <c r="E562" s="2" t="inlineStr">
        <is>
          <t>m</t>
        </is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1</v>
      </c>
      <c r="P562" s="2" t="n">
        <v>0</v>
      </c>
      <c r="Q562" s="2" t="n">
        <v>1</v>
      </c>
      <c r="R562" s="2" t="n">
        <v>1</v>
      </c>
      <c r="S562" s="2" t="n"/>
      <c r="T562" s="2">
        <f>IF(OR(S562="",R562=0),"",ROUND(S562*R562,2))</f>
        <v/>
      </c>
      <c r="U562" s="2" t="inlineStr"/>
    </row>
    <row r="563">
      <c r="A563" s="2" t="inlineStr">
        <is>
          <t>J</t>
        </is>
      </c>
      <c r="B563" s="2" t="inlineStr">
        <is>
          <t>SUSPENDED CEILINGS</t>
        </is>
      </c>
      <c r="C563" s="2" t="inlineStr">
        <is>
          <t>N</t>
        </is>
      </c>
      <c r="D563" s="2" t="inlineStr">
        <is>
          <t>480mm high; ref. GC-100</t>
        </is>
      </c>
      <c r="E563" s="2" t="inlineStr">
        <is>
          <t>m</t>
        </is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2</v>
      </c>
      <c r="M563" s="2" t="n">
        <v>2</v>
      </c>
      <c r="N563" s="2" t="n">
        <v>0</v>
      </c>
      <c r="O563" s="2" t="n">
        <v>0</v>
      </c>
      <c r="P563" s="2" t="n">
        <v>0</v>
      </c>
      <c r="Q563" s="2" t="n">
        <v>4</v>
      </c>
      <c r="R563" s="2" t="n">
        <v>74</v>
      </c>
      <c r="S563" s="2" t="n"/>
      <c r="T563" s="2">
        <f>IF(OR(S563="",R563=0),"",ROUND(S563*R563,2))</f>
        <v/>
      </c>
      <c r="U563" s="2" t="inlineStr"/>
    </row>
    <row r="564">
      <c r="A564" s="2" t="inlineStr">
        <is>
          <t>J</t>
        </is>
      </c>
      <c r="B564" s="2" t="inlineStr">
        <is>
          <t>SUSPENDED CEILINGS</t>
        </is>
      </c>
      <c r="C564" s="2" t="inlineStr">
        <is>
          <t>N</t>
        </is>
      </c>
      <c r="D564" s="2" t="inlineStr">
        <is>
          <t>Access Panel, size 900x900mm</t>
        </is>
      </c>
      <c r="E564" s="2" t="inlineStr">
        <is>
          <t>No</t>
        </is>
      </c>
      <c r="F564" s="2" t="n">
        <v>4</v>
      </c>
      <c r="G564" s="2" t="n">
        <v>4</v>
      </c>
      <c r="H564" s="2" t="n">
        <v>6</v>
      </c>
      <c r="I564" s="2" t="n">
        <v>6</v>
      </c>
      <c r="J564" s="2" t="n">
        <v>8</v>
      </c>
      <c r="K564" s="2" t="n">
        <v>8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  <c r="Q564" s="2" t="n">
        <v>36</v>
      </c>
      <c r="R564" s="2" t="n">
        <v>510</v>
      </c>
      <c r="S564" s="2" t="n"/>
      <c r="T564" s="2">
        <f>IF(OR(S564="",R564=0),"",ROUND(S564*R564,2))</f>
        <v/>
      </c>
      <c r="U564" s="2" t="inlineStr"/>
    </row>
    <row r="565">
      <c r="A565" s="2" t="inlineStr">
        <is>
          <t>J</t>
        </is>
      </c>
      <c r="B565" s="2" t="inlineStr">
        <is>
          <t>SUSPENDED CEILINGS</t>
        </is>
      </c>
      <c r="C565" s="2" t="inlineStr">
        <is>
          <t>N</t>
        </is>
      </c>
      <c r="D565" s="2" t="inlineStr">
        <is>
          <t>Ref. CT-102, 100mm high Two component solvent free UV-resistant polyurethane epoxy suitable for external vertical application  to Pump Enclosure</t>
        </is>
      </c>
      <c r="E565" s="2" t="inlineStr">
        <is>
          <t>m</t>
        </is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5</v>
      </c>
      <c r="P565" s="2" t="n">
        <v>0</v>
      </c>
      <c r="Q565" s="2" t="n">
        <v>5</v>
      </c>
      <c r="R565" s="2" t="n">
        <v>5</v>
      </c>
      <c r="S565" s="2" t="n"/>
      <c r="T565" s="2">
        <f>IF(OR(S565="",R565=0),"",ROUND(S565*R565,2))</f>
        <v/>
      </c>
      <c r="U565" s="2" t="inlineStr"/>
    </row>
    <row r="566">
      <c r="A566" s="2" t="inlineStr">
        <is>
          <t>J</t>
        </is>
      </c>
      <c r="B566" s="2" t="inlineStr">
        <is>
          <t>SUSPENDED CEILINGS</t>
        </is>
      </c>
      <c r="C566" s="2" t="inlineStr">
        <is>
          <t>P</t>
        </is>
      </c>
      <c r="D566" s="2" t="inlineStr">
        <is>
          <t>530mm high; ref. GC-100</t>
        </is>
      </c>
      <c r="E566" s="2" t="inlineStr">
        <is>
          <t>m</t>
        </is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6</v>
      </c>
      <c r="M566" s="2" t="n">
        <v>6</v>
      </c>
      <c r="N566" s="2" t="n">
        <v>0</v>
      </c>
      <c r="O566" s="2" t="n">
        <v>0</v>
      </c>
      <c r="P566" s="2" t="n">
        <v>0</v>
      </c>
      <c r="Q566" s="2" t="n">
        <v>12</v>
      </c>
      <c r="R566" s="2" t="n">
        <v>222</v>
      </c>
      <c r="S566" s="2" t="n"/>
      <c r="T566" s="2">
        <f>IF(OR(S566="",R566=0),"",ROUND(S566*R566,2))</f>
        <v/>
      </c>
      <c r="U566" s="2" t="inlineStr"/>
    </row>
    <row r="567">
      <c r="A567" s="2" t="inlineStr">
        <is>
          <t>J</t>
        </is>
      </c>
      <c r="B567" s="2" t="inlineStr">
        <is>
          <t>SUSPENDED CEILINGS</t>
        </is>
      </c>
      <c r="C567" s="2" t="inlineStr">
        <is>
          <t>P</t>
        </is>
      </c>
      <c r="D567" s="2" t="inlineStr">
        <is>
          <t>100mm high porcelain skirting tile with 2mm round corner and anti-fungal sealant joint, to balconies</t>
        </is>
      </c>
      <c r="E567" s="2" t="inlineStr">
        <is>
          <t>m</t>
        </is>
      </c>
      <c r="F567" s="2" t="n">
        <v>9</v>
      </c>
      <c r="G567" s="2" t="n">
        <v>16</v>
      </c>
      <c r="H567" s="2" t="n">
        <v>17</v>
      </c>
      <c r="I567" s="2" t="n">
        <v>24</v>
      </c>
      <c r="J567" s="2" t="n">
        <v>23</v>
      </c>
      <c r="K567" s="2" t="n">
        <v>30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  <c r="Q567" s="2" t="n">
        <v>119</v>
      </c>
      <c r="R567" s="2" t="n">
        <v>1686</v>
      </c>
      <c r="S567" s="2" t="n"/>
      <c r="T567" s="2">
        <f>IF(OR(S567="",R567=0),"",ROUND(S567*R567,2))</f>
        <v/>
      </c>
      <c r="U567" s="2" t="inlineStr"/>
    </row>
    <row r="568">
      <c r="A568" s="2" t="inlineStr">
        <is>
          <t>J</t>
        </is>
      </c>
      <c r="B568" s="2" t="inlineStr">
        <is>
          <t>SUSPENDED CEILINGS</t>
        </is>
      </c>
      <c r="C568" s="2" t="inlineStr">
        <is>
          <t>Q</t>
        </is>
      </c>
      <c r="D568" s="2" t="inlineStr">
        <is>
          <t>550mm high; ref. GC-100</t>
        </is>
      </c>
      <c r="E568" s="2" t="inlineStr">
        <is>
          <t>m</t>
        </is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1</v>
      </c>
      <c r="M568" s="2" t="n">
        <v>1</v>
      </c>
      <c r="N568" s="2" t="n">
        <v>0</v>
      </c>
      <c r="O568" s="2" t="n">
        <v>0</v>
      </c>
      <c r="P568" s="2" t="n">
        <v>0</v>
      </c>
      <c r="Q568" s="2" t="n">
        <v>2</v>
      </c>
      <c r="R568" s="2" t="n">
        <v>37</v>
      </c>
      <c r="S568" s="2" t="n"/>
      <c r="T568" s="2">
        <f>IF(OR(S568="",R568=0),"",ROUND(S568*R568,2))</f>
        <v/>
      </c>
      <c r="U568" s="2" t="inlineStr"/>
    </row>
    <row r="569">
      <c r="A569" s="2" t="inlineStr">
        <is>
          <t>J</t>
        </is>
      </c>
      <c r="B569" s="2" t="inlineStr">
        <is>
          <t>SUSPENDED CEILINGS</t>
        </is>
      </c>
      <c r="C569" s="2" t="inlineStr">
        <is>
          <t>Q</t>
        </is>
      </c>
      <c r="D569" s="2" t="inlineStr">
        <is>
          <t>80mm high porcelain skirting tile with 2mm round corner and anti-fungal sealant joint, to balconies</t>
        </is>
      </c>
      <c r="E569" s="2" t="inlineStr">
        <is>
          <t>m</t>
        </is>
      </c>
      <c r="F569" s="2" t="n">
        <v>0</v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10</v>
      </c>
      <c r="M569" s="2" t="n">
        <v>10</v>
      </c>
      <c r="N569" s="2" t="n">
        <v>0</v>
      </c>
      <c r="O569" s="2" t="n">
        <v>0</v>
      </c>
      <c r="P569" s="2" t="n">
        <v>0</v>
      </c>
      <c r="Q569" s="2" t="n">
        <v>20</v>
      </c>
      <c r="R569" s="2" t="n">
        <v>370</v>
      </c>
      <c r="S569" s="2" t="n"/>
      <c r="T569" s="2">
        <f>IF(OR(S569="",R569=0),"",ROUND(S569*R569,2))</f>
        <v/>
      </c>
      <c r="U569" s="2" t="inlineStr"/>
    </row>
    <row r="570">
      <c r="A570" s="2" t="inlineStr">
        <is>
          <t>J</t>
        </is>
      </c>
      <c r="B570" s="2" t="inlineStr">
        <is>
          <t>SUSPENDED CEILINGS</t>
        </is>
      </c>
      <c r="C570" s="2" t="inlineStr">
        <is>
          <t>R</t>
        </is>
      </c>
      <c r="D570" s="2" t="inlineStr">
        <is>
          <t>580mm high; ref. GC-100</t>
        </is>
      </c>
      <c r="E570" s="2" t="inlineStr">
        <is>
          <t>m</t>
        </is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1</v>
      </c>
      <c r="M570" s="2" t="n">
        <v>1</v>
      </c>
      <c r="N570" s="2" t="n">
        <v>0</v>
      </c>
      <c r="O570" s="2" t="n">
        <v>0</v>
      </c>
      <c r="P570" s="2" t="n">
        <v>0</v>
      </c>
      <c r="Q570" s="2" t="n">
        <v>2</v>
      </c>
      <c r="R570" s="2" t="n">
        <v>37</v>
      </c>
      <c r="S570" s="2" t="n"/>
      <c r="T570" s="2">
        <f>IF(OR(S570="",R570=0),"",ROUND(S570*R570,2))</f>
        <v/>
      </c>
      <c r="U570" s="2" t="inlineStr"/>
    </row>
    <row r="571">
      <c r="A571" s="2" t="inlineStr">
        <is>
          <t>J</t>
        </is>
      </c>
      <c r="B571" s="2" t="inlineStr">
        <is>
          <t>SUSPENDED CEILINGS</t>
        </is>
      </c>
      <c r="C571" s="2" t="inlineStr">
        <is>
          <t>S</t>
        </is>
      </c>
      <c r="D571" s="2" t="inlineStr">
        <is>
          <t>610mm high; ref. GC-100</t>
        </is>
      </c>
      <c r="E571" s="2" t="inlineStr">
        <is>
          <t>m</t>
        </is>
      </c>
      <c r="F571" s="2" t="n">
        <v>0</v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1</v>
      </c>
      <c r="M571" s="2" t="n">
        <v>1</v>
      </c>
      <c r="N571" s="2" t="n">
        <v>0</v>
      </c>
      <c r="O571" s="2" t="n">
        <v>0</v>
      </c>
      <c r="P571" s="2" t="n">
        <v>0</v>
      </c>
      <c r="Q571" s="2" t="n">
        <v>2</v>
      </c>
      <c r="R571" s="2" t="n">
        <v>37</v>
      </c>
      <c r="S571" s="2" t="n"/>
      <c r="T571" s="2">
        <f>IF(OR(S571="",R571=0),"",ROUND(S571*R571,2))</f>
        <v/>
      </c>
      <c r="U571" s="2" t="inlineStr"/>
    </row>
    <row r="572">
      <c r="A572" s="2" t="inlineStr">
        <is>
          <t>J</t>
        </is>
      </c>
      <c r="B572" s="2" t="inlineStr">
        <is>
          <t>SUSPENDED CEILINGS</t>
        </is>
      </c>
      <c r="C572" s="2" t="inlineStr">
        <is>
          <t>T</t>
        </is>
      </c>
      <c r="D572" s="2" t="inlineStr">
        <is>
          <t>630mm high; ref. GC-100</t>
        </is>
      </c>
      <c r="E572" s="2" t="inlineStr">
        <is>
          <t>m</t>
        </is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7</v>
      </c>
      <c r="M572" s="2" t="n">
        <v>7</v>
      </c>
      <c r="N572" s="2" t="n">
        <v>0</v>
      </c>
      <c r="O572" s="2" t="n">
        <v>0</v>
      </c>
      <c r="P572" s="2" t="n">
        <v>0</v>
      </c>
      <c r="Q572" s="2" t="n">
        <v>14</v>
      </c>
      <c r="R572" s="2" t="n">
        <v>259</v>
      </c>
      <c r="S572" s="2" t="n"/>
      <c r="T572" s="2">
        <f>IF(OR(S572="",R572=0),"",ROUND(S572*R572,2))</f>
        <v/>
      </c>
      <c r="U572" s="2" t="inlineStr"/>
    </row>
    <row r="573">
      <c r="A573" s="2" t="inlineStr">
        <is>
          <t>J</t>
        </is>
      </c>
      <c r="B573" s="2" t="inlineStr">
        <is>
          <t>SUSPENDED CEILINGS</t>
        </is>
      </c>
      <c r="C573" s="2" t="inlineStr">
        <is>
          <t>U</t>
        </is>
      </c>
      <c r="D573" s="2" t="inlineStr">
        <is>
          <t>650mm high; ref. GC-100</t>
        </is>
      </c>
      <c r="E573" s="2" t="inlineStr">
        <is>
          <t>m</t>
        </is>
      </c>
      <c r="F573" s="2" t="n">
        <v>0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1</v>
      </c>
      <c r="M573" s="2" t="n">
        <v>1</v>
      </c>
      <c r="N573" s="2" t="n">
        <v>0</v>
      </c>
      <c r="O573" s="2" t="n">
        <v>0</v>
      </c>
      <c r="P573" s="2" t="n">
        <v>0</v>
      </c>
      <c r="Q573" s="2" t="n">
        <v>2</v>
      </c>
      <c r="R573" s="2" t="n">
        <v>37</v>
      </c>
      <c r="S573" s="2" t="n"/>
      <c r="T573" s="2">
        <f>IF(OR(S573="",R573=0),"",ROUND(S573*R573,2))</f>
        <v/>
      </c>
      <c r="U573" s="2" t="inlineStr"/>
    </row>
    <row r="574">
      <c r="A574" s="2" t="inlineStr">
        <is>
          <t>J</t>
        </is>
      </c>
      <c r="B574" s="2" t="inlineStr">
        <is>
          <t>SUSPENDED CEILINGS</t>
        </is>
      </c>
      <c r="C574" s="2" t="inlineStr">
        <is>
          <t>V</t>
        </is>
      </c>
      <c r="D574" s="2" t="inlineStr">
        <is>
          <t>220mm high; ref. GC-101</t>
        </is>
      </c>
      <c r="E574" s="2" t="inlineStr">
        <is>
          <t>m</t>
        </is>
      </c>
      <c r="F574" s="2" t="n">
        <v>0</v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1</v>
      </c>
      <c r="M574" s="2" t="n">
        <v>1</v>
      </c>
      <c r="N574" s="2" t="n">
        <v>0</v>
      </c>
      <c r="O574" s="2" t="n">
        <v>0</v>
      </c>
      <c r="P574" s="2" t="n">
        <v>0</v>
      </c>
      <c r="Q574" s="2" t="n">
        <v>2</v>
      </c>
      <c r="R574" s="2" t="n">
        <v>37</v>
      </c>
      <c r="S574" s="2" t="n"/>
      <c r="T574" s="2">
        <f>IF(OR(S574="",R574=0),"",ROUND(S574*R574,2))</f>
        <v/>
      </c>
      <c r="U574" s="2" t="inlineStr"/>
    </row>
    <row r="575">
      <c r="A575" s="2" t="inlineStr">
        <is>
          <t>J</t>
        </is>
      </c>
      <c r="B575" s="2" t="inlineStr">
        <is>
          <t>SUSPENDED CEILINGS</t>
        </is>
      </c>
      <c r="C575" s="2" t="inlineStr">
        <is>
          <t>W</t>
        </is>
      </c>
      <c r="D575" s="2" t="inlineStr">
        <is>
          <t>200mm high; ref. GC-101, to Community Hall</t>
        </is>
      </c>
      <c r="E575" s="2" t="inlineStr">
        <is>
          <t>m</t>
        </is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38</v>
      </c>
      <c r="O575" s="2" t="n">
        <v>0</v>
      </c>
      <c r="P575" s="2" t="n">
        <v>0</v>
      </c>
      <c r="Q575" s="2" t="n">
        <v>38</v>
      </c>
      <c r="R575" s="2" t="n">
        <v>38</v>
      </c>
      <c r="S575" s="2" t="n"/>
      <c r="T575" s="2">
        <f>IF(OR(S575="",R575=0),"",ROUND(S575*R575,2))</f>
        <v/>
      </c>
      <c r="U575" s="2" t="inlineStr"/>
    </row>
    <row r="576">
      <c r="A576" s="2" t="inlineStr">
        <is>
          <t>J</t>
        </is>
      </c>
      <c r="B576" s="2" t="inlineStr">
        <is>
          <t>SUSPENDED CEILINGS</t>
        </is>
      </c>
      <c r="C576" s="2" t="inlineStr">
        <is>
          <t>X</t>
        </is>
      </c>
      <c r="D576" s="2" t="inlineStr">
        <is>
          <t>600mm high; ref. GC-101, to Community Hall</t>
        </is>
      </c>
      <c r="E576" s="2" t="inlineStr">
        <is>
          <t>m</t>
        </is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9</v>
      </c>
      <c r="O576" s="2" t="n">
        <v>0</v>
      </c>
      <c r="P576" s="2" t="n">
        <v>0</v>
      </c>
      <c r="Q576" s="2" t="n">
        <v>9</v>
      </c>
      <c r="R576" s="2" t="n">
        <v>9</v>
      </c>
      <c r="S576" s="2" t="n"/>
      <c r="T576" s="2">
        <f>IF(OR(S576="",R576=0),"",ROUND(S576*R576,2))</f>
        <v/>
      </c>
      <c r="U576" s="2" t="inlineStr"/>
    </row>
    <row r="577">
      <c r="A577" s="2" t="inlineStr">
        <is>
          <t>J</t>
        </is>
      </c>
      <c r="B577" s="2" t="inlineStr">
        <is>
          <t>SUSPENDED CEILINGS</t>
        </is>
      </c>
      <c r="C577" s="2" t="inlineStr">
        <is>
          <t>Y</t>
        </is>
      </c>
      <c r="D577" s="2" t="inlineStr">
        <is>
          <t>100mm high; ref. GC-101, to Gym</t>
        </is>
      </c>
      <c r="E577" s="2" t="inlineStr">
        <is>
          <t>m</t>
        </is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133</v>
      </c>
      <c r="O577" s="2" t="n">
        <v>0</v>
      </c>
      <c r="P577" s="2" t="n">
        <v>0</v>
      </c>
      <c r="Q577" s="2" t="n">
        <v>133</v>
      </c>
      <c r="R577" s="2" t="n">
        <v>133</v>
      </c>
      <c r="S577" s="2" t="n"/>
      <c r="T577" s="2">
        <f>IF(OR(S577="",R577=0),"",ROUND(S577*R577,2))</f>
        <v/>
      </c>
      <c r="U577" s="2" t="inlineStr"/>
    </row>
    <row r="578">
      <c r="A578" s="2" t="inlineStr">
        <is>
          <t>J</t>
        </is>
      </c>
      <c r="B578" s="2" t="inlineStr">
        <is>
          <t>SUSPENDED CEILINGS</t>
        </is>
      </c>
      <c r="C578" s="2" t="inlineStr">
        <is>
          <t>Z</t>
        </is>
      </c>
      <c r="D578" s="2" t="inlineStr">
        <is>
          <t>200mm high; ref. GC-102, to ID areas, at servise block</t>
        </is>
      </c>
      <c r="E578" s="2" t="inlineStr">
        <is>
          <t>m</t>
        </is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18</v>
      </c>
      <c r="O578" s="2" t="n">
        <v>0</v>
      </c>
      <c r="P578" s="2" t="n">
        <v>0</v>
      </c>
      <c r="Q578" s="2" t="n">
        <v>18</v>
      </c>
      <c r="R578" s="2" t="n">
        <v>18</v>
      </c>
      <c r="S578" s="2" t="n"/>
      <c r="T578" s="2">
        <f>IF(OR(S578="",R578=0),"",ROUND(S578*R578,2))</f>
        <v/>
      </c>
      <c r="U578" s="2" t="inlineStr"/>
    </row>
    <row r="579">
      <c r="A579" s="2" t="inlineStr">
        <is>
          <t>K</t>
        </is>
      </c>
      <c r="B579" s="2" t="inlineStr">
        <is>
          <t>BATHTUB LEDGE</t>
        </is>
      </c>
      <c r="C579" s="2" t="inlineStr">
        <is>
          <t>A</t>
        </is>
      </c>
      <c r="D579" s="2" t="inlineStr">
        <is>
          <t>Bathtub Ledge, size 1750mm L x 900mm W x 500mm H</t>
        </is>
      </c>
      <c r="E579" s="2" t="inlineStr">
        <is>
          <t>No</t>
        </is>
      </c>
      <c r="F579" s="2" t="n">
        <v>2</v>
      </c>
      <c r="G579" s="2" t="n">
        <v>2</v>
      </c>
      <c r="H579" s="2" t="n">
        <v>2</v>
      </c>
      <c r="I579" s="2" t="n">
        <v>2</v>
      </c>
      <c r="J579" s="2" t="n">
        <v>2</v>
      </c>
      <c r="K579" s="2" t="n">
        <v>2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  <c r="Q579" s="2" t="n">
        <v>12</v>
      </c>
      <c r="R579" s="2" t="n">
        <v>184</v>
      </c>
      <c r="S579" s="2" t="n"/>
      <c r="T579" s="2">
        <f>IF(OR(S579="",R579=0),"",ROUND(S579*R579,2))</f>
        <v/>
      </c>
      <c r="U579" s="2" t="inlineStr"/>
    </row>
    <row r="580">
      <c r="A580" s="2" t="inlineStr">
        <is>
          <t>K</t>
        </is>
      </c>
      <c r="B580" s="2" t="inlineStr">
        <is>
          <t>CISTERN ENCLOSURE</t>
        </is>
      </c>
      <c r="C580" s="2" t="inlineStr">
        <is>
          <t>B</t>
        </is>
      </c>
      <c r="D580" s="2" t="inlineStr">
        <is>
          <t>Cistern enclosure, Size 885mm L x 200mm W x 1200mm H</t>
        </is>
      </c>
      <c r="E580" s="2" t="inlineStr">
        <is>
          <t>No</t>
        </is>
      </c>
      <c r="F580" s="2" t="n">
        <v>0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1</v>
      </c>
      <c r="M580" s="2" t="n">
        <v>1</v>
      </c>
      <c r="N580" s="2" t="n">
        <v>0</v>
      </c>
      <c r="O580" s="2" t="n">
        <v>0</v>
      </c>
      <c r="P580" s="2" t="n">
        <v>0</v>
      </c>
      <c r="Q580" s="2" t="n">
        <v>2</v>
      </c>
      <c r="R580" s="2" t="n">
        <v>37</v>
      </c>
      <c r="S580" s="2" t="n"/>
      <c r="T580" s="2">
        <f>IF(OR(S580="",R580=0),"",ROUND(S580*R580,2))</f>
        <v/>
      </c>
      <c r="U580" s="2" t="inlineStr"/>
    </row>
    <row r="581">
      <c r="A581" s="2" t="inlineStr">
        <is>
          <t>K</t>
        </is>
      </c>
      <c r="B581" s="2" t="inlineStr">
        <is>
          <t>CISTERN ENCLOSURE</t>
        </is>
      </c>
      <c r="C581" s="2" t="inlineStr">
        <is>
          <t>C</t>
        </is>
      </c>
      <c r="D581" s="2" t="inlineStr">
        <is>
          <t>Cistern enclosure, Size 890mm L x 200mm W x 1200mm H</t>
        </is>
      </c>
      <c r="E581" s="2" t="inlineStr">
        <is>
          <t>No</t>
        </is>
      </c>
      <c r="F581" s="2" t="n">
        <v>2</v>
      </c>
      <c r="G581" s="2" t="n">
        <v>2</v>
      </c>
      <c r="H581" s="2" t="n">
        <v>4</v>
      </c>
      <c r="I581" s="2" t="n">
        <v>4</v>
      </c>
      <c r="J581" s="2" t="n">
        <v>6</v>
      </c>
      <c r="K581" s="2" t="n">
        <v>6</v>
      </c>
      <c r="L581" s="2" t="n">
        <v>1</v>
      </c>
      <c r="M581" s="2" t="n">
        <v>1</v>
      </c>
      <c r="N581" s="2" t="n">
        <v>0</v>
      </c>
      <c r="O581" s="2" t="n">
        <v>0</v>
      </c>
      <c r="P581" s="2" t="n">
        <v>0</v>
      </c>
      <c r="Q581" s="2" t="n">
        <v>26</v>
      </c>
      <c r="R581" s="2" t="n">
        <v>363</v>
      </c>
      <c r="S581" s="2" t="n"/>
      <c r="T581" s="2">
        <f>IF(OR(S581="",R581=0),"",ROUND(S581*R581,2))</f>
        <v/>
      </c>
      <c r="U581" s="2" t="inlineStr"/>
    </row>
    <row r="582">
      <c r="A582" s="2" t="inlineStr">
        <is>
          <t>K</t>
        </is>
      </c>
      <c r="B582" s="2" t="inlineStr">
        <is>
          <t>CISTERN ENCLOSURE</t>
        </is>
      </c>
      <c r="C582" s="2" t="inlineStr">
        <is>
          <t>D</t>
        </is>
      </c>
      <c r="D582" s="2" t="inlineStr">
        <is>
          <t>Cistern enclosure, Size 900mm L x 200mm W x 1200mm H</t>
        </is>
      </c>
      <c r="E582" s="2" t="inlineStr">
        <is>
          <t>No</t>
        </is>
      </c>
      <c r="F582" s="2" t="n">
        <v>8</v>
      </c>
      <c r="G582" s="2" t="n">
        <v>8</v>
      </c>
      <c r="H582" s="2" t="n">
        <v>10</v>
      </c>
      <c r="I582" s="2" t="n">
        <v>10</v>
      </c>
      <c r="J582" s="2" t="n">
        <v>12</v>
      </c>
      <c r="K582" s="2" t="n">
        <v>12</v>
      </c>
      <c r="L582" s="2" t="n">
        <v>3</v>
      </c>
      <c r="M582" s="2" t="n">
        <v>3</v>
      </c>
      <c r="N582" s="2" t="n">
        <v>0</v>
      </c>
      <c r="O582" s="2" t="n">
        <v>0</v>
      </c>
      <c r="P582" s="2" t="n">
        <v>0</v>
      </c>
      <c r="Q582" s="2" t="n">
        <v>66</v>
      </c>
      <c r="R582" s="2" t="n">
        <v>989</v>
      </c>
      <c r="S582" s="2" t="n"/>
      <c r="T582" s="2">
        <f>IF(OR(S582="",R582=0),"",ROUND(S582*R582,2))</f>
        <v/>
      </c>
      <c r="U582" s="2" t="inlineStr"/>
    </row>
    <row r="583">
      <c r="A583" s="2" t="inlineStr">
        <is>
          <t>K</t>
        </is>
      </c>
      <c r="B583" s="2" t="inlineStr">
        <is>
          <t>CISTERN ENCLOSURE</t>
        </is>
      </c>
      <c r="C583" s="2" t="inlineStr">
        <is>
          <t>E</t>
        </is>
      </c>
      <c r="D583" s="2" t="inlineStr">
        <is>
          <t>Cistern enclosure, Size 905mm L x 200mm W x 1200mm H</t>
        </is>
      </c>
      <c r="E583" s="2" t="inlineStr">
        <is>
          <t>No</t>
        </is>
      </c>
      <c r="F583" s="2" t="n">
        <v>2</v>
      </c>
      <c r="G583" s="2" t="n">
        <v>2</v>
      </c>
      <c r="H583" s="2" t="n">
        <v>4</v>
      </c>
      <c r="I583" s="2" t="n">
        <v>4</v>
      </c>
      <c r="J583" s="2" t="n">
        <v>6</v>
      </c>
      <c r="K583" s="2" t="n">
        <v>6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  <c r="Q583" s="2" t="n">
        <v>24</v>
      </c>
      <c r="R583" s="2" t="n">
        <v>326</v>
      </c>
      <c r="S583" s="2" t="n"/>
      <c r="T583" s="2">
        <f>IF(OR(S583="",R583=0),"",ROUND(S583*R583,2))</f>
        <v/>
      </c>
      <c r="U583" s="2" t="inlineStr"/>
    </row>
    <row r="584">
      <c r="A584" s="2" t="inlineStr">
        <is>
          <t>K</t>
        </is>
      </c>
      <c r="B584" s="2" t="inlineStr">
        <is>
          <t>CISTERN ENCLOSURE</t>
        </is>
      </c>
      <c r="C584" s="2" t="inlineStr">
        <is>
          <t>F</t>
        </is>
      </c>
      <c r="D584" s="2" t="inlineStr">
        <is>
          <t>Cistern enclosure, Size 970mm L x 200mm W x 1200mm H</t>
        </is>
      </c>
      <c r="E584" s="2" t="inlineStr">
        <is>
          <t>No</t>
        </is>
      </c>
      <c r="F584" s="2" t="n">
        <v>2</v>
      </c>
      <c r="G584" s="2" t="n">
        <v>2</v>
      </c>
      <c r="H584" s="2" t="n">
        <v>2</v>
      </c>
      <c r="I584" s="2" t="n">
        <v>2</v>
      </c>
      <c r="J584" s="2" t="n">
        <v>2</v>
      </c>
      <c r="K584" s="2" t="n">
        <v>2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  <c r="Q584" s="2" t="n">
        <v>12</v>
      </c>
      <c r="R584" s="2" t="n">
        <v>184</v>
      </c>
      <c r="S584" s="2" t="n"/>
      <c r="T584" s="2">
        <f>IF(OR(S584="",R584=0),"",ROUND(S584*R584,2))</f>
        <v/>
      </c>
      <c r="U584" s="2" t="inlineStr"/>
    </row>
    <row r="585">
      <c r="A585" s="2" t="inlineStr">
        <is>
          <t>K</t>
        </is>
      </c>
      <c r="B585" s="2" t="inlineStr">
        <is>
          <t>CISTERN ENCLOSURE</t>
        </is>
      </c>
      <c r="C585" s="2" t="inlineStr">
        <is>
          <t>G</t>
        </is>
      </c>
      <c r="D585" s="2" t="inlineStr">
        <is>
          <t>Cistern enclosure, Size 1190mm L x 200mm W x 1200mm H</t>
        </is>
      </c>
      <c r="E585" s="2" t="inlineStr">
        <is>
          <t>No</t>
        </is>
      </c>
      <c r="F585" s="2" t="n">
        <v>0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1</v>
      </c>
      <c r="M585" s="2" t="n">
        <v>1</v>
      </c>
      <c r="N585" s="2" t="n">
        <v>0</v>
      </c>
      <c r="O585" s="2" t="n">
        <v>0</v>
      </c>
      <c r="P585" s="2" t="n">
        <v>0</v>
      </c>
      <c r="Q585" s="2" t="n">
        <v>2</v>
      </c>
      <c r="R585" s="2" t="n">
        <v>37</v>
      </c>
      <c r="S585" s="2" t="n"/>
      <c r="T585" s="2">
        <f>IF(OR(S585="",R585=0),"",ROUND(S585*R585,2))</f>
        <v/>
      </c>
      <c r="U585" s="2" t="inlineStr"/>
    </row>
    <row r="586">
      <c r="A586" s="2" t="inlineStr">
        <is>
          <t>K</t>
        </is>
      </c>
      <c r="B586" s="2" t="inlineStr">
        <is>
          <t>CISTERN ENCLOSURE</t>
        </is>
      </c>
      <c r="C586" s="2" t="inlineStr">
        <is>
          <t>H</t>
        </is>
      </c>
      <c r="D586" s="2" t="inlineStr">
        <is>
          <t>Size 200mm W X 880mm L x 1150mm H</t>
        </is>
      </c>
      <c r="E586" s="2" t="inlineStr">
        <is>
          <t>No</t>
        </is>
      </c>
      <c r="F586" s="2" t="n">
        <v>0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3</v>
      </c>
      <c r="O586" s="2" t="n">
        <v>0</v>
      </c>
      <c r="P586" s="2" t="n">
        <v>0</v>
      </c>
      <c r="Q586" s="2" t="n">
        <v>3</v>
      </c>
      <c r="R586" s="2" t="n">
        <v>3</v>
      </c>
      <c r="S586" s="2" t="n"/>
      <c r="T586" s="2">
        <f>IF(OR(S586="",R586=0),"",ROUND(S586*R586,2))</f>
        <v/>
      </c>
      <c r="U586" s="2" t="inlineStr"/>
    </row>
    <row r="587">
      <c r="A587" s="2" t="inlineStr">
        <is>
          <t>K</t>
        </is>
      </c>
      <c r="B587" s="2" t="inlineStr">
        <is>
          <t>CISTERN ENCLOSURE</t>
        </is>
      </c>
      <c r="C587" s="2" t="inlineStr">
        <is>
          <t>J</t>
        </is>
      </c>
      <c r="D587" s="2" t="inlineStr">
        <is>
          <t>Size 200mm W X 891mm L x 1150mm H</t>
        </is>
      </c>
      <c r="E587" s="2" t="inlineStr">
        <is>
          <t>No</t>
        </is>
      </c>
      <c r="F587" s="2" t="n">
        <v>0</v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1</v>
      </c>
      <c r="O587" s="2" t="n">
        <v>0</v>
      </c>
      <c r="P587" s="2" t="n">
        <v>0</v>
      </c>
      <c r="Q587" s="2" t="n">
        <v>1</v>
      </c>
      <c r="R587" s="2" t="n">
        <v>1</v>
      </c>
      <c r="S587" s="2" t="n"/>
      <c r="T587" s="2">
        <f>IF(OR(S587="",R587=0),"",ROUND(S587*R587,2))</f>
        <v/>
      </c>
      <c r="U587" s="2" t="inlineStr"/>
    </row>
    <row r="588">
      <c r="A588" s="2" t="inlineStr">
        <is>
          <t>K</t>
        </is>
      </c>
      <c r="B588" s="2" t="inlineStr">
        <is>
          <t>CISTERN ENCLOSURE</t>
        </is>
      </c>
      <c r="C588" s="2" t="inlineStr">
        <is>
          <t>K</t>
        </is>
      </c>
      <c r="D588" s="2" t="inlineStr">
        <is>
          <t>Size 200mm W X 899mm L x 1150mm H</t>
        </is>
      </c>
      <c r="E588" s="2" t="inlineStr">
        <is>
          <t>No</t>
        </is>
      </c>
      <c r="F588" s="2" t="n">
        <v>0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2</v>
      </c>
      <c r="O588" s="2" t="n">
        <v>0</v>
      </c>
      <c r="P588" s="2" t="n">
        <v>0</v>
      </c>
      <c r="Q588" s="2" t="n">
        <v>2</v>
      </c>
      <c r="R588" s="2" t="n">
        <v>2</v>
      </c>
      <c r="S588" s="2" t="n"/>
      <c r="T588" s="2">
        <f>IF(OR(S588="",R588=0),"",ROUND(S588*R588,2))</f>
        <v/>
      </c>
      <c r="U588" s="2" t="inlineStr"/>
    </row>
    <row r="589">
      <c r="A589" s="2" t="inlineStr">
        <is>
          <t>K</t>
        </is>
      </c>
      <c r="B589" s="2" t="inlineStr">
        <is>
          <t>CISTERN ENCLOSURE</t>
        </is>
      </c>
      <c r="C589" s="2" t="inlineStr">
        <is>
          <t>L</t>
        </is>
      </c>
      <c r="D589" s="2" t="inlineStr">
        <is>
          <t>Size 210mm W X 880mm L x 1150mm H</t>
        </is>
      </c>
      <c r="E589" s="2" t="inlineStr">
        <is>
          <t>No</t>
        </is>
      </c>
      <c r="F589" s="2" t="n">
        <v>0</v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3</v>
      </c>
      <c r="O589" s="2" t="n">
        <v>0</v>
      </c>
      <c r="P589" s="2" t="n">
        <v>0</v>
      </c>
      <c r="Q589" s="2" t="n">
        <v>3</v>
      </c>
      <c r="R589" s="2" t="n">
        <v>3</v>
      </c>
      <c r="S589" s="2" t="n"/>
      <c r="T589" s="2">
        <f>IF(OR(S589="",R589=0),"",ROUND(S589*R589,2))</f>
        <v/>
      </c>
      <c r="U589" s="2" t="inlineStr"/>
    </row>
    <row r="590">
      <c r="A590" s="2" t="inlineStr">
        <is>
          <t>K</t>
        </is>
      </c>
      <c r="B590" s="2" t="inlineStr">
        <is>
          <t>MIRRORS</t>
        </is>
      </c>
      <c r="C590" s="2" t="inlineStr">
        <is>
          <t>A</t>
        </is>
      </c>
      <c r="D590" s="2" t="inlineStr">
        <is>
          <t>Size 600mm W x 1000mm H, to Maid Bathroom</t>
        </is>
      </c>
      <c r="E590" s="2" t="inlineStr">
        <is>
          <t>No</t>
        </is>
      </c>
      <c r="F590" s="2" t="n">
        <v>2</v>
      </c>
      <c r="G590" s="2" t="n">
        <v>2</v>
      </c>
      <c r="H590" s="2" t="n">
        <v>4</v>
      </c>
      <c r="I590" s="2" t="n">
        <v>4</v>
      </c>
      <c r="J590" s="2" t="n">
        <v>6</v>
      </c>
      <c r="K590" s="2" t="n">
        <v>6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0</v>
      </c>
      <c r="Q590" s="2" t="n">
        <v>24</v>
      </c>
      <c r="R590" s="2" t="n">
        <v>326</v>
      </c>
      <c r="S590" s="2" t="n"/>
      <c r="T590" s="2">
        <f>IF(OR(S590="",R590=0),"",ROUND(S590*R590,2))</f>
        <v/>
      </c>
      <c r="U590" s="2" t="inlineStr"/>
    </row>
    <row r="591">
      <c r="A591" s="2" t="inlineStr">
        <is>
          <t>K</t>
        </is>
      </c>
      <c r="B591" s="2" t="inlineStr">
        <is>
          <t>MIRRORS</t>
        </is>
      </c>
      <c r="C591" s="2" t="inlineStr">
        <is>
          <t>B</t>
        </is>
      </c>
      <c r="D591" s="2" t="inlineStr">
        <is>
          <t>Size 400mm W x 800mm H, to Maid Bathroom</t>
        </is>
      </c>
      <c r="E591" s="2" t="inlineStr">
        <is>
          <t>No</t>
        </is>
      </c>
      <c r="F591" s="2" t="n">
        <v>2</v>
      </c>
      <c r="G591" s="2" t="n">
        <v>2</v>
      </c>
      <c r="H591" s="2" t="n">
        <v>2</v>
      </c>
      <c r="I591" s="2" t="n">
        <v>2</v>
      </c>
      <c r="J591" s="2" t="n">
        <v>2</v>
      </c>
      <c r="K591" s="2" t="n">
        <v>2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0</v>
      </c>
      <c r="Q591" s="2" t="n">
        <v>12</v>
      </c>
      <c r="R591" s="2" t="n">
        <v>184</v>
      </c>
      <c r="S591" s="2" t="n"/>
      <c r="T591" s="2">
        <f>IF(OR(S591="",R591=0),"",ROUND(S591*R591,2))</f>
        <v/>
      </c>
      <c r="U591" s="2" t="inlineStr"/>
    </row>
    <row r="592">
      <c r="A592" s="2" t="inlineStr">
        <is>
          <t>K</t>
        </is>
      </c>
      <c r="B592" s="2" t="inlineStr">
        <is>
          <t>MIRRORS</t>
        </is>
      </c>
      <c r="C592" s="2" t="inlineStr">
        <is>
          <t>C</t>
        </is>
      </c>
      <c r="D592" s="2" t="inlineStr">
        <is>
          <t>Size 600mm W x 1000mm H, to Maid Bathroom</t>
        </is>
      </c>
      <c r="E592" s="2" t="inlineStr">
        <is>
          <t>No</t>
        </is>
      </c>
      <c r="F592" s="2" t="n">
        <v>0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1</v>
      </c>
      <c r="M592" s="2" t="n">
        <v>1</v>
      </c>
      <c r="N592" s="2" t="n">
        <v>0</v>
      </c>
      <c r="O592" s="2" t="n">
        <v>0</v>
      </c>
      <c r="P592" s="2" t="n">
        <v>0</v>
      </c>
      <c r="Q592" s="2" t="n">
        <v>2</v>
      </c>
      <c r="R592" s="2" t="n">
        <v>37</v>
      </c>
      <c r="S592" s="2" t="n"/>
      <c r="T592" s="2">
        <f>IF(OR(S592="",R592=0),"",ROUND(S592*R592,2))</f>
        <v/>
      </c>
      <c r="U592" s="2" t="inlineStr"/>
    </row>
    <row r="593">
      <c r="A593" s="2" t="inlineStr">
        <is>
          <t>K</t>
        </is>
      </c>
      <c r="B593" s="2" t="inlineStr">
        <is>
          <t>PARTITIONS</t>
        </is>
      </c>
      <c r="C593" s="2" t="inlineStr">
        <is>
          <t>P</t>
        </is>
      </c>
      <c r="D593" s="2" t="inlineStr">
        <is>
          <t>Cubicles, comprising 3 Nos compartments, including 3 doors, overall size 1635 mm L x 2720mm W x 2710mm H</t>
        </is>
      </c>
      <c r="E593" s="2" t="inlineStr">
        <is>
          <t>No</t>
        </is>
      </c>
      <c r="F593" s="2" t="n">
        <v>0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2</v>
      </c>
      <c r="O593" s="2" t="n">
        <v>0</v>
      </c>
      <c r="P593" s="2" t="n">
        <v>0</v>
      </c>
      <c r="Q593" s="2" t="n">
        <v>2</v>
      </c>
      <c r="R593" s="2" t="n">
        <v>2</v>
      </c>
      <c r="S593" s="2" t="n"/>
      <c r="T593" s="2">
        <f>IF(OR(S593="",R593=0),"",ROUND(S593*R593,2))</f>
        <v/>
      </c>
      <c r="U593" s="2" t="inlineStr"/>
    </row>
    <row r="594">
      <c r="A594" s="2" t="inlineStr">
        <is>
          <t>K</t>
        </is>
      </c>
      <c r="B594" s="2" t="inlineStr">
        <is>
          <t>PARTITIONS</t>
        </is>
      </c>
      <c r="C594" s="2" t="inlineStr">
        <is>
          <t>Q</t>
        </is>
      </c>
      <c r="D594" s="2" t="inlineStr">
        <is>
          <t>Cubicles, comprising 6 Nos compartments, including 6 doors, overall size 2648mm L x 2750mm W x 2710mm H</t>
        </is>
      </c>
      <c r="E594" s="2" t="inlineStr">
        <is>
          <t>No</t>
        </is>
      </c>
      <c r="F594" s="2" t="n">
        <v>0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2</v>
      </c>
      <c r="O594" s="2" t="n">
        <v>0</v>
      </c>
      <c r="P594" s="2" t="n">
        <v>0</v>
      </c>
      <c r="Q594" s="2" t="n">
        <v>2</v>
      </c>
      <c r="R594" s="2" t="n">
        <v>2</v>
      </c>
      <c r="S594" s="2" t="n"/>
      <c r="T594" s="2">
        <f>IF(OR(S594="",R594=0),"",ROUND(S594*R594,2))</f>
        <v/>
      </c>
      <c r="U594" s="2" t="inlineStr"/>
    </row>
    <row r="595">
      <c r="A595" s="2" t="inlineStr">
        <is>
          <t>K</t>
        </is>
      </c>
      <c r="B595" s="2" t="inlineStr">
        <is>
          <t>PARTITIONS</t>
        </is>
      </c>
      <c r="C595" s="2" t="inlineStr">
        <is>
          <t>R</t>
        </is>
      </c>
      <c r="D595" s="2" t="inlineStr">
        <is>
          <t>Glass Partition, size 1790mm L x 2710mm H</t>
        </is>
      </c>
      <c r="E595" s="2" t="inlineStr">
        <is>
          <t>No</t>
        </is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1</v>
      </c>
      <c r="O595" s="2" t="n">
        <v>0</v>
      </c>
      <c r="P595" s="2" t="n">
        <v>0</v>
      </c>
      <c r="Q595" s="2" t="n">
        <v>1</v>
      </c>
      <c r="R595" s="2" t="n">
        <v>1</v>
      </c>
      <c r="S595" s="2" t="n"/>
      <c r="T595" s="2">
        <f>IF(OR(S595="",R595=0),"",ROUND(S595*R595,2))</f>
        <v/>
      </c>
      <c r="U595" s="2" t="inlineStr"/>
    </row>
    <row r="596">
      <c r="A596" s="2" t="inlineStr">
        <is>
          <t>K</t>
        </is>
      </c>
      <c r="B596" s="2" t="inlineStr">
        <is>
          <t>PARTITIONS</t>
        </is>
      </c>
      <c r="C596" s="2" t="inlineStr">
        <is>
          <t>S</t>
        </is>
      </c>
      <c r="D596" s="2" t="inlineStr">
        <is>
          <t>Urinal partition, overall size 500mm L x 20mm W x 2410mm H, as per drawing No. IDN-0184-00</t>
        </is>
      </c>
      <c r="E596" s="2" t="inlineStr">
        <is>
          <t>No</t>
        </is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2</v>
      </c>
      <c r="O596" s="2" t="n">
        <v>0</v>
      </c>
      <c r="P596" s="2" t="n">
        <v>0</v>
      </c>
      <c r="Q596" s="2" t="n">
        <v>2</v>
      </c>
      <c r="R596" s="2" t="n">
        <v>2</v>
      </c>
      <c r="S596" s="2" t="n"/>
      <c r="T596" s="2">
        <f>IF(OR(S596="",R596=0),"",ROUND(S596*R596,2))</f>
        <v/>
      </c>
      <c r="U596" s="2" t="inlineStr"/>
    </row>
    <row r="597">
      <c r="A597" s="2" t="inlineStr">
        <is>
          <t>K</t>
        </is>
      </c>
      <c r="B597" s="2" t="inlineStr">
        <is>
          <t>SHOWER NICHE</t>
        </is>
      </c>
      <c r="C597" s="2" t="inlineStr">
        <is>
          <t>M</t>
        </is>
      </c>
      <c r="D597" s="2" t="inlineStr">
        <is>
          <t>size 200mm L x 125mm W x 900mm H</t>
        </is>
      </c>
      <c r="E597" s="2" t="inlineStr">
        <is>
          <t>No</t>
        </is>
      </c>
      <c r="F597" s="2" t="n">
        <v>6</v>
      </c>
      <c r="G597" s="2" t="n">
        <v>6</v>
      </c>
      <c r="H597" s="2" t="n">
        <v>10</v>
      </c>
      <c r="I597" s="2" t="n">
        <v>10</v>
      </c>
      <c r="J597" s="2" t="n">
        <v>14</v>
      </c>
      <c r="K597" s="2" t="n">
        <v>14</v>
      </c>
      <c r="L597" s="2" t="n">
        <v>3</v>
      </c>
      <c r="M597" s="2" t="n">
        <v>3</v>
      </c>
      <c r="N597" s="2" t="n">
        <v>0</v>
      </c>
      <c r="O597" s="2" t="n">
        <v>0</v>
      </c>
      <c r="P597" s="2" t="n">
        <v>0</v>
      </c>
      <c r="Q597" s="2" t="n">
        <v>66</v>
      </c>
      <c r="R597" s="2" t="n">
        <v>947</v>
      </c>
      <c r="S597" s="2" t="n"/>
      <c r="T597" s="2">
        <f>IF(OR(S597="",R597=0),"",ROUND(S597*R597,2))</f>
        <v/>
      </c>
      <c r="U597" s="2" t="inlineStr"/>
    </row>
    <row r="598">
      <c r="A598" s="2" t="inlineStr">
        <is>
          <t>K</t>
        </is>
      </c>
      <c r="B598" s="2" t="inlineStr">
        <is>
          <t>SHOWER NICHE</t>
        </is>
      </c>
      <c r="C598" s="2" t="inlineStr">
        <is>
          <t>N</t>
        </is>
      </c>
      <c r="D598" s="2" t="inlineStr">
        <is>
          <t>size 600mm L x 125mm W x 300mm H</t>
        </is>
      </c>
      <c r="E598" s="2" t="inlineStr">
        <is>
          <t>No</t>
        </is>
      </c>
      <c r="F598" s="2" t="n">
        <v>2</v>
      </c>
      <c r="G598" s="2" t="n">
        <v>2</v>
      </c>
      <c r="H598" s="2" t="n">
        <v>2</v>
      </c>
      <c r="I598" s="2" t="n">
        <v>2</v>
      </c>
      <c r="J598" s="2" t="n">
        <v>2</v>
      </c>
      <c r="K598" s="2" t="n">
        <v>2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0</v>
      </c>
      <c r="Q598" s="2" t="n">
        <v>12</v>
      </c>
      <c r="R598" s="2" t="n">
        <v>184</v>
      </c>
      <c r="S598" s="2" t="n"/>
      <c r="T598" s="2">
        <f>IF(OR(S598="",R598=0),"",ROUND(S598*R598,2))</f>
        <v/>
      </c>
      <c r="U598" s="2" t="inlineStr"/>
    </row>
    <row r="599">
      <c r="A599" s="2" t="inlineStr">
        <is>
          <t>K</t>
        </is>
      </c>
      <c r="B599" s="2" t="inlineStr">
        <is>
          <t>SHOWER NICHE</t>
        </is>
      </c>
      <c r="C599" s="2" t="inlineStr">
        <is>
          <t>P</t>
        </is>
      </c>
      <c r="D599" s="2" t="inlineStr">
        <is>
          <t>size 900mm L x 125mm W x 300mm H</t>
        </is>
      </c>
      <c r="E599" s="2" t="inlineStr">
        <is>
          <t>No</t>
        </is>
      </c>
      <c r="F599" s="2" t="n">
        <v>4</v>
      </c>
      <c r="G599" s="2" t="n">
        <v>4</v>
      </c>
      <c r="H599" s="2" t="n">
        <v>4</v>
      </c>
      <c r="I599" s="2" t="n">
        <v>4</v>
      </c>
      <c r="J599" s="2" t="n">
        <v>4</v>
      </c>
      <c r="K599" s="2" t="n">
        <v>4</v>
      </c>
      <c r="L599" s="2" t="n">
        <v>1</v>
      </c>
      <c r="M599" s="2" t="n">
        <v>1</v>
      </c>
      <c r="N599" s="2" t="n">
        <v>0</v>
      </c>
      <c r="O599" s="2" t="n">
        <v>0</v>
      </c>
      <c r="P599" s="2" t="n">
        <v>0</v>
      </c>
      <c r="Q599" s="2" t="n">
        <v>26</v>
      </c>
      <c r="R599" s="2" t="n">
        <v>405</v>
      </c>
      <c r="S599" s="2" t="n"/>
      <c r="T599" s="2">
        <f>IF(OR(S599="",R599=0),"",ROUND(S599*R599,2))</f>
        <v/>
      </c>
      <c r="U599" s="2" t="inlineStr"/>
    </row>
    <row r="600">
      <c r="A600" s="2" t="inlineStr">
        <is>
          <t>K</t>
        </is>
      </c>
      <c r="B600" s="2" t="inlineStr">
        <is>
          <t>TOILET ACCESSORIES</t>
        </is>
      </c>
      <c r="C600" s="2" t="inlineStr">
        <is>
          <t>AA</t>
        </is>
      </c>
      <c r="D600" s="2" t="inlineStr">
        <is>
          <t>Ref. SW-311, wall mounted shower seat</t>
        </is>
      </c>
      <c r="E600" s="2" t="inlineStr">
        <is>
          <t>No</t>
        </is>
      </c>
      <c r="F600" s="2" t="n">
        <v>0</v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1</v>
      </c>
      <c r="O600" s="2" t="n">
        <v>0</v>
      </c>
      <c r="P600" s="2" t="n">
        <v>0</v>
      </c>
      <c r="Q600" s="2" t="n">
        <v>1</v>
      </c>
      <c r="R600" s="2" t="n">
        <v>1</v>
      </c>
      <c r="S600" s="2" t="n"/>
      <c r="T600" s="2">
        <f>IF(OR(S600="",R600=0),"",ROUND(S600*R600,2))</f>
        <v/>
      </c>
      <c r="U600" s="2" t="inlineStr"/>
    </row>
    <row r="601">
      <c r="A601" s="2" t="inlineStr">
        <is>
          <t>K</t>
        </is>
      </c>
      <c r="B601" s="2" t="inlineStr">
        <is>
          <t>TOILET ACCESSORIES</t>
        </is>
      </c>
      <c r="C601" s="2" t="inlineStr">
        <is>
          <t>AB</t>
        </is>
      </c>
      <c r="D601" s="2" t="inlineStr">
        <is>
          <t>Ref. SW-313, wall mounted baby changing unit</t>
        </is>
      </c>
      <c r="E601" s="2" t="inlineStr">
        <is>
          <t>No</t>
        </is>
      </c>
      <c r="F601" s="2" t="n">
        <v>0</v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1</v>
      </c>
      <c r="O601" s="2" t="n">
        <v>0</v>
      </c>
      <c r="P601" s="2" t="n">
        <v>0</v>
      </c>
      <c r="Q601" s="2" t="n">
        <v>1</v>
      </c>
      <c r="R601" s="2" t="n">
        <v>1</v>
      </c>
      <c r="S601" s="2" t="n"/>
      <c r="T601" s="2">
        <f>IF(OR(S601="",R601=0),"",ROUND(S601*R601,2))</f>
        <v/>
      </c>
      <c r="U601" s="2" t="inlineStr"/>
    </row>
    <row r="602">
      <c r="A602" s="2" t="inlineStr">
        <is>
          <t>K</t>
        </is>
      </c>
      <c r="B602" s="2" t="inlineStr">
        <is>
          <t>TOILET ACCESSORIES</t>
        </is>
      </c>
      <c r="C602" s="2" t="inlineStr">
        <is>
          <t>AC</t>
        </is>
      </c>
      <c r="D602" s="2" t="inlineStr">
        <is>
          <t>Ref. SW-314, wheelchair mirror, size 550mm Lx 700mm H</t>
        </is>
      </c>
      <c r="E602" s="2" t="inlineStr">
        <is>
          <t>No</t>
        </is>
      </c>
      <c r="F602" s="2" t="n">
        <v>0</v>
      </c>
      <c r="G602" s="2" t="n">
        <v>0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1</v>
      </c>
      <c r="O602" s="2" t="n">
        <v>0</v>
      </c>
      <c r="P602" s="2" t="n">
        <v>0</v>
      </c>
      <c r="Q602" s="2" t="n">
        <v>1</v>
      </c>
      <c r="R602" s="2" t="n">
        <v>1</v>
      </c>
      <c r="S602" s="2" t="n"/>
      <c r="T602" s="2">
        <f>IF(OR(S602="",R602=0),"",ROUND(S602*R602,2))</f>
        <v/>
      </c>
      <c r="U602" s="2" t="inlineStr"/>
    </row>
    <row r="603">
      <c r="A603" s="2" t="inlineStr">
        <is>
          <t>K</t>
        </is>
      </c>
      <c r="B603" s="2" t="inlineStr">
        <is>
          <t>TOILET ACCESSORIES</t>
        </is>
      </c>
      <c r="C603" s="2" t="inlineStr">
        <is>
          <t>AD</t>
        </is>
      </c>
      <c r="D603" s="2" t="inlineStr">
        <is>
          <t>Ref. SW-315, pedal bin - 5 litre</t>
        </is>
      </c>
      <c r="E603" s="2" t="inlineStr">
        <is>
          <t>No</t>
        </is>
      </c>
      <c r="F603" s="2" t="n">
        <v>0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6</v>
      </c>
      <c r="O603" s="2" t="n">
        <v>0</v>
      </c>
      <c r="P603" s="2" t="n">
        <v>0</v>
      </c>
      <c r="Q603" s="2" t="n">
        <v>6</v>
      </c>
      <c r="R603" s="2" t="n">
        <v>6</v>
      </c>
      <c r="S603" s="2" t="n"/>
      <c r="T603" s="2">
        <f>IF(OR(S603="",R603=0),"",ROUND(S603*R603,2))</f>
        <v/>
      </c>
      <c r="U603" s="2" t="inlineStr"/>
    </row>
    <row r="604">
      <c r="A604" s="2" t="inlineStr">
        <is>
          <t>K</t>
        </is>
      </c>
      <c r="B604" s="2" t="inlineStr">
        <is>
          <t>TOILET ACCESSORIES</t>
        </is>
      </c>
      <c r="C604" s="2" t="inlineStr">
        <is>
          <t>AE</t>
        </is>
      </c>
      <c r="D604" s="2" t="inlineStr">
        <is>
          <t>Ref. SW-316, open top waste bin</t>
        </is>
      </c>
      <c r="E604" s="2" t="inlineStr">
        <is>
          <t>No</t>
        </is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1</v>
      </c>
      <c r="O604" s="2" t="n">
        <v>0</v>
      </c>
      <c r="P604" s="2" t="n">
        <v>0</v>
      </c>
      <c r="Q604" s="2" t="n">
        <v>1</v>
      </c>
      <c r="R604" s="2" t="n">
        <v>1</v>
      </c>
      <c r="S604" s="2" t="n"/>
      <c r="T604" s="2">
        <f>IF(OR(S604="",R604=0),"",ROUND(S604*R604,2))</f>
        <v/>
      </c>
      <c r="U604" s="2" t="inlineStr"/>
    </row>
    <row r="605">
      <c r="A605" s="2" t="inlineStr">
        <is>
          <t>K</t>
        </is>
      </c>
      <c r="B605" s="2" t="inlineStr">
        <is>
          <t>TOILET ACCESSORIES</t>
        </is>
      </c>
      <c r="C605" s="2" t="inlineStr">
        <is>
          <t>AF</t>
        </is>
      </c>
      <c r="D605" s="2" t="inlineStr">
        <is>
          <t>Ref. SW-317, linear grab bar</t>
        </is>
      </c>
      <c r="E605" s="2" t="inlineStr">
        <is>
          <t>No</t>
        </is>
      </c>
      <c r="F605" s="2" t="n">
        <v>0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5</v>
      </c>
      <c r="O605" s="2" t="n">
        <v>0</v>
      </c>
      <c r="P605" s="2" t="n">
        <v>0</v>
      </c>
      <c r="Q605" s="2" t="n">
        <v>5</v>
      </c>
      <c r="R605" s="2" t="n">
        <v>5</v>
      </c>
      <c r="S605" s="2" t="n"/>
      <c r="T605" s="2">
        <f>IF(OR(S605="",R605=0),"",ROUND(S605*R605,2))</f>
        <v/>
      </c>
      <c r="U605" s="2" t="inlineStr"/>
    </row>
    <row r="606">
      <c r="A606" s="2" t="inlineStr">
        <is>
          <t>K</t>
        </is>
      </c>
      <c r="B606" s="2" t="inlineStr">
        <is>
          <t>TOILET ACCESSORIES</t>
        </is>
      </c>
      <c r="C606" s="2" t="inlineStr">
        <is>
          <t>AG</t>
        </is>
      </c>
      <c r="D606" s="2" t="inlineStr">
        <is>
          <t>Ref. SW-318, wc back rest</t>
        </is>
      </c>
      <c r="E606" s="2" t="inlineStr">
        <is>
          <t>No</t>
        </is>
      </c>
      <c r="F606" s="2" t="n">
        <v>0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1</v>
      </c>
      <c r="O606" s="2" t="n">
        <v>0</v>
      </c>
      <c r="P606" s="2" t="n">
        <v>0</v>
      </c>
      <c r="Q606" s="2" t="n">
        <v>1</v>
      </c>
      <c r="R606" s="2" t="n">
        <v>1</v>
      </c>
      <c r="S606" s="2" t="n"/>
      <c r="T606" s="2">
        <f>IF(OR(S606="",R606=0),"",ROUND(S606*R606,2))</f>
        <v/>
      </c>
      <c r="U606" s="2" t="inlineStr"/>
    </row>
    <row r="607">
      <c r="A607" s="2" t="inlineStr">
        <is>
          <t>K</t>
        </is>
      </c>
      <c r="B607" s="2" t="inlineStr">
        <is>
          <t>TOILET ACCESSORIES</t>
        </is>
      </c>
      <c r="C607" s="2" t="inlineStr">
        <is>
          <t>AH</t>
        </is>
      </c>
      <c r="D607" s="2" t="inlineStr">
        <is>
          <t>Ref. SW-319, shower curtain rod</t>
        </is>
      </c>
      <c r="E607" s="2" t="inlineStr">
        <is>
          <t>No</t>
        </is>
      </c>
      <c r="F607" s="2" t="n">
        <v>0</v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1</v>
      </c>
      <c r="O607" s="2" t="n">
        <v>0</v>
      </c>
      <c r="P607" s="2" t="n">
        <v>0</v>
      </c>
      <c r="Q607" s="2" t="n">
        <v>1</v>
      </c>
      <c r="R607" s="2" t="n">
        <v>1</v>
      </c>
      <c r="S607" s="2" t="n"/>
      <c r="T607" s="2">
        <f>IF(OR(S607="",R607=0),"",ROUND(S607*R607,2))</f>
        <v/>
      </c>
      <c r="U607" s="2" t="inlineStr"/>
    </row>
    <row r="608">
      <c r="A608" s="2" t="inlineStr">
        <is>
          <t>K</t>
        </is>
      </c>
      <c r="B608" s="2" t="inlineStr">
        <is>
          <t>TOILET ACCESSORIES</t>
        </is>
      </c>
      <c r="C608" s="2" t="inlineStr">
        <is>
          <t>AJ</t>
        </is>
      </c>
      <c r="D608" s="2" t="inlineStr">
        <is>
          <t>Ref. SW-320, behind mirror paper towel dispenser for hinged mirror, size 300mm L x 1000mm H</t>
        </is>
      </c>
      <c r="E608" s="2" t="inlineStr">
        <is>
          <t>No</t>
        </is>
      </c>
      <c r="F608" s="2" t="n">
        <v>0</v>
      </c>
      <c r="G608" s="2" t="n">
        <v>0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6</v>
      </c>
      <c r="O608" s="2" t="n">
        <v>0</v>
      </c>
      <c r="P608" s="2" t="n">
        <v>0</v>
      </c>
      <c r="Q608" s="2" t="n">
        <v>6</v>
      </c>
      <c r="R608" s="2" t="n">
        <v>6</v>
      </c>
      <c r="S608" s="2" t="n"/>
      <c r="T608" s="2">
        <f>IF(OR(S608="",R608=0),"",ROUND(S608*R608,2))</f>
        <v/>
      </c>
      <c r="U608" s="2" t="inlineStr"/>
    </row>
    <row r="609">
      <c r="A609" s="2" t="inlineStr">
        <is>
          <t>K</t>
        </is>
      </c>
      <c r="B609" s="2" t="inlineStr">
        <is>
          <t>TOILET ACCESSORIES</t>
        </is>
      </c>
      <c r="C609" s="2" t="inlineStr">
        <is>
          <t>F</t>
        </is>
      </c>
      <c r="D609" s="2" t="inlineStr">
        <is>
          <t>Ref. SW-06, Paper towel dispenser</t>
        </is>
      </c>
      <c r="E609" s="2" t="inlineStr">
        <is>
          <t>No</t>
        </is>
      </c>
      <c r="F609" s="2" t="n">
        <v>0</v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1</v>
      </c>
      <c r="P609" s="2" t="n">
        <v>0</v>
      </c>
      <c r="Q609" s="2" t="n">
        <v>1</v>
      </c>
      <c r="R609" s="2" t="n">
        <v>1</v>
      </c>
      <c r="S609" s="2" t="n"/>
      <c r="T609" s="2">
        <f>IF(OR(S609="",R609=0),"",ROUND(S609*R609,2))</f>
        <v/>
      </c>
      <c r="U609" s="2" t="inlineStr"/>
    </row>
    <row r="610">
      <c r="A610" s="2" t="inlineStr">
        <is>
          <t>K</t>
        </is>
      </c>
      <c r="B610" s="2" t="inlineStr">
        <is>
          <t>TOILET ACCESSORIES</t>
        </is>
      </c>
      <c r="C610" s="2" t="inlineStr">
        <is>
          <t>H</t>
        </is>
      </c>
      <c r="D610" s="2" t="inlineStr">
        <is>
          <t>Ref. SW-09, Soap dispenser</t>
        </is>
      </c>
      <c r="E610" s="2" t="inlineStr">
        <is>
          <t>No</t>
        </is>
      </c>
      <c r="F610" s="2" t="n">
        <v>0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1</v>
      </c>
      <c r="P610" s="2" t="n">
        <v>0</v>
      </c>
      <c r="Q610" s="2" t="n">
        <v>1</v>
      </c>
      <c r="R610" s="2" t="n">
        <v>1</v>
      </c>
      <c r="S610" s="2" t="n"/>
      <c r="T610" s="2">
        <f>IF(OR(S610="",R610=0),"",ROUND(S610*R610,2))</f>
        <v/>
      </c>
      <c r="U610" s="2" t="inlineStr"/>
    </row>
    <row r="611">
      <c r="A611" s="2" t="inlineStr">
        <is>
          <t>K</t>
        </is>
      </c>
      <c r="B611" s="2" t="inlineStr">
        <is>
          <t>TOILET ACCESSORIES</t>
        </is>
      </c>
      <c r="C611" s="2" t="inlineStr">
        <is>
          <t>J</t>
        </is>
      </c>
      <c r="D611" s="2" t="inlineStr">
        <is>
          <t>Ref. SW-10, Mirror, size 650mm W x 1000mm H</t>
        </is>
      </c>
      <c r="E611" s="2" t="inlineStr">
        <is>
          <t>No</t>
        </is>
      </c>
      <c r="F611" s="2" t="n">
        <v>0</v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>1</v>
      </c>
      <c r="P611" s="2" t="n">
        <v>0</v>
      </c>
      <c r="Q611" s="2" t="n">
        <v>1</v>
      </c>
      <c r="R611" s="2" t="n">
        <v>1</v>
      </c>
      <c r="S611" s="2" t="n"/>
      <c r="T611" s="2">
        <f>IF(OR(S611="",R611=0),"",ROUND(S611*R611,2))</f>
        <v/>
      </c>
      <c r="U611" s="2" t="inlineStr"/>
    </row>
    <row r="612">
      <c r="A612" s="2" t="inlineStr">
        <is>
          <t>K</t>
        </is>
      </c>
      <c r="B612" s="2" t="inlineStr">
        <is>
          <t>TOILET ACCESSORIES</t>
        </is>
      </c>
      <c r="C612" s="2" t="inlineStr">
        <is>
          <t>K</t>
        </is>
      </c>
      <c r="D612" s="2" t="inlineStr">
        <is>
          <t>Ref. SW-11, Trash bin</t>
        </is>
      </c>
      <c r="E612" s="2" t="inlineStr">
        <is>
          <t>No</t>
        </is>
      </c>
      <c r="F612" s="2" t="n">
        <v>0</v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n">
        <v>1</v>
      </c>
      <c r="P612" s="2" t="n">
        <v>0</v>
      </c>
      <c r="Q612" s="2" t="n">
        <v>1</v>
      </c>
      <c r="R612" s="2" t="n">
        <v>1</v>
      </c>
      <c r="S612" s="2" t="n"/>
      <c r="T612" s="2">
        <f>IF(OR(S612="",R612=0),"",ROUND(S612*R612,2))</f>
        <v/>
      </c>
      <c r="U612" s="2" t="inlineStr"/>
    </row>
    <row r="613">
      <c r="A613" s="2" t="inlineStr">
        <is>
          <t>K</t>
        </is>
      </c>
      <c r="B613" s="2" t="inlineStr">
        <is>
          <t>TOILET ACCESSORIES</t>
        </is>
      </c>
      <c r="C613" s="2" t="inlineStr">
        <is>
          <t>M</t>
        </is>
      </c>
      <c r="D613" s="2" t="inlineStr">
        <is>
          <t>Ref. SW-106, Recessed combination paper tower dispenser/ waste bin</t>
        </is>
      </c>
      <c r="E613" s="2" t="inlineStr">
        <is>
          <t>No</t>
        </is>
      </c>
      <c r="F613" s="2" t="n">
        <v>0</v>
      </c>
      <c r="G613" s="2" t="n">
        <v>0</v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1</v>
      </c>
      <c r="O613" s="2" t="n">
        <v>0</v>
      </c>
      <c r="P613" s="2" t="n">
        <v>0</v>
      </c>
      <c r="Q613" s="2" t="n">
        <v>1</v>
      </c>
      <c r="R613" s="2" t="n">
        <v>1</v>
      </c>
      <c r="S613" s="2" t="n"/>
      <c r="T613" s="2">
        <f>IF(OR(S613="",R613=0),"",ROUND(S613*R613,2))</f>
        <v/>
      </c>
      <c r="U613" s="2" t="inlineStr"/>
    </row>
    <row r="614">
      <c r="A614" s="2" t="inlineStr">
        <is>
          <t>K</t>
        </is>
      </c>
      <c r="B614" s="2" t="inlineStr">
        <is>
          <t>TOILET ACCESSORIES</t>
        </is>
      </c>
      <c r="C614" s="2" t="inlineStr">
        <is>
          <t>N</t>
        </is>
      </c>
      <c r="D614" s="2" t="inlineStr">
        <is>
          <t>Ref. SW-107, Soap Dispenser</t>
        </is>
      </c>
      <c r="E614" s="2" t="inlineStr">
        <is>
          <t>No</t>
        </is>
      </c>
      <c r="F614" s="2" t="n">
        <v>0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1</v>
      </c>
      <c r="O614" s="2" t="n">
        <v>0</v>
      </c>
      <c r="P614" s="2" t="n">
        <v>0</v>
      </c>
      <c r="Q614" s="2" t="n">
        <v>1</v>
      </c>
      <c r="R614" s="2" t="n">
        <v>1</v>
      </c>
      <c r="S614" s="2" t="n"/>
      <c r="T614" s="2">
        <f>IF(OR(S614="",R614=0),"",ROUND(S614*R614,2))</f>
        <v/>
      </c>
      <c r="U614" s="2" t="inlineStr"/>
    </row>
    <row r="615">
      <c r="A615" s="2" t="inlineStr">
        <is>
          <t>K</t>
        </is>
      </c>
      <c r="B615" s="2" t="inlineStr">
        <is>
          <t>TOILET ACCESSORIES</t>
        </is>
      </c>
      <c r="C615" s="2" t="inlineStr">
        <is>
          <t>P</t>
        </is>
      </c>
      <c r="D615" s="2" t="inlineStr">
        <is>
          <t>Ref. SW-108, Trash Bin</t>
        </is>
      </c>
      <c r="E615" s="2" t="inlineStr">
        <is>
          <t>No</t>
        </is>
      </c>
      <c r="F615" s="2" t="n">
        <v>0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1</v>
      </c>
      <c r="O615" s="2" t="n">
        <v>0</v>
      </c>
      <c r="P615" s="2" t="n">
        <v>0</v>
      </c>
      <c r="Q615" s="2" t="n">
        <v>1</v>
      </c>
      <c r="R615" s="2" t="n">
        <v>1</v>
      </c>
      <c r="S615" s="2" t="n"/>
      <c r="T615" s="2">
        <f>IF(OR(S615="",R615=0),"",ROUND(S615*R615,2))</f>
        <v/>
      </c>
      <c r="U615" s="2" t="inlineStr"/>
    </row>
    <row r="616">
      <c r="A616" s="2" t="inlineStr">
        <is>
          <t>K</t>
        </is>
      </c>
      <c r="B616" s="2" t="inlineStr">
        <is>
          <t>TOILET ACCESSORIES</t>
        </is>
      </c>
      <c r="C616" s="2" t="inlineStr">
        <is>
          <t>R</t>
        </is>
      </c>
      <c r="D616" s="2" t="inlineStr">
        <is>
          <t>Ref. SW-110, Mirror, size 400mm W x 800mm H</t>
        </is>
      </c>
      <c r="E616" s="2" t="inlineStr">
        <is>
          <t>No</t>
        </is>
      </c>
      <c r="F616" s="2" t="n">
        <v>0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2</v>
      </c>
      <c r="O616" s="2" t="n">
        <v>0</v>
      </c>
      <c r="P616" s="2" t="n">
        <v>0</v>
      </c>
      <c r="Q616" s="2" t="n">
        <v>2</v>
      </c>
      <c r="R616" s="2" t="n">
        <v>2</v>
      </c>
      <c r="S616" s="2" t="n"/>
      <c r="T616" s="2">
        <f>IF(OR(S616="",R616=0),"",ROUND(S616*R616,2))</f>
        <v/>
      </c>
      <c r="U616" s="2" t="inlineStr"/>
    </row>
    <row r="617">
      <c r="A617" s="2" t="inlineStr">
        <is>
          <t>K</t>
        </is>
      </c>
      <c r="B617" s="2" t="inlineStr">
        <is>
          <t>TOILET ACCESSORIES</t>
        </is>
      </c>
      <c r="C617" s="2" t="inlineStr">
        <is>
          <t>S</t>
        </is>
      </c>
      <c r="D617" s="2" t="inlineStr">
        <is>
          <t>Ref. SW-301, locked paper roll dispenser</t>
        </is>
      </c>
      <c r="E617" s="2" t="inlineStr">
        <is>
          <t>No</t>
        </is>
      </c>
      <c r="F617" s="2" t="n">
        <v>0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6</v>
      </c>
      <c r="O617" s="2" t="n">
        <v>0</v>
      </c>
      <c r="P617" s="2" t="n">
        <v>0</v>
      </c>
      <c r="Q617" s="2" t="n">
        <v>6</v>
      </c>
      <c r="R617" s="2" t="n">
        <v>6</v>
      </c>
      <c r="S617" s="2" t="n"/>
      <c r="T617" s="2">
        <f>IF(OR(S617="",R617=0),"",ROUND(S617*R617,2))</f>
        <v/>
      </c>
      <c r="U617" s="2" t="inlineStr"/>
    </row>
    <row r="618">
      <c r="A618" s="2" t="inlineStr">
        <is>
          <t>K</t>
        </is>
      </c>
      <c r="B618" s="2" t="inlineStr">
        <is>
          <t>TOILET ACCESSORIES</t>
        </is>
      </c>
      <c r="C618" s="2" t="inlineStr">
        <is>
          <t>U</t>
        </is>
      </c>
      <c r="D618" s="2" t="inlineStr">
        <is>
          <t>Ref. SW-303, deck mounted touchless soap dispenser</t>
        </is>
      </c>
      <c r="E618" s="2" t="inlineStr">
        <is>
          <t>No</t>
        </is>
      </c>
      <c r="F618" s="2" t="n">
        <v>0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6</v>
      </c>
      <c r="O618" s="2" t="n">
        <v>0</v>
      </c>
      <c r="P618" s="2" t="n">
        <v>0</v>
      </c>
      <c r="Q618" s="2" t="n">
        <v>6</v>
      </c>
      <c r="R618" s="2" t="n">
        <v>6</v>
      </c>
      <c r="S618" s="2" t="n"/>
      <c r="T618" s="2">
        <f>IF(OR(S618="",R618=0),"",ROUND(S618*R618,2))</f>
        <v/>
      </c>
      <c r="U618" s="2" t="inlineStr"/>
    </row>
    <row r="619">
      <c r="A619" s="2" t="inlineStr">
        <is>
          <t>K</t>
        </is>
      </c>
      <c r="B619" s="2" t="inlineStr">
        <is>
          <t>TOILET ACCESSORIES</t>
        </is>
      </c>
      <c r="C619" s="2" t="inlineStr">
        <is>
          <t>V</t>
        </is>
      </c>
      <c r="D619" s="2" t="inlineStr">
        <is>
          <t>Ref. SW-304, automatic hand dryer</t>
        </is>
      </c>
      <c r="E619" s="2" t="inlineStr">
        <is>
          <t>No</t>
        </is>
      </c>
      <c r="F619" s="2" t="n">
        <v>0</v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1</v>
      </c>
      <c r="O619" s="2" t="n">
        <v>0</v>
      </c>
      <c r="P619" s="2" t="n">
        <v>0</v>
      </c>
      <c r="Q619" s="2" t="n">
        <v>1</v>
      </c>
      <c r="R619" s="2" t="n">
        <v>1</v>
      </c>
      <c r="S619" s="2" t="n"/>
      <c r="T619" s="2">
        <f>IF(OR(S619="",R619=0),"",ROUND(S619*R619,2))</f>
        <v/>
      </c>
      <c r="U619" s="2" t="inlineStr"/>
    </row>
    <row r="620">
      <c r="A620" s="2" t="inlineStr">
        <is>
          <t>K</t>
        </is>
      </c>
      <c r="B620" s="2" t="inlineStr">
        <is>
          <t>TOILET ACCESSORIES</t>
        </is>
      </c>
      <c r="C620" s="2" t="inlineStr">
        <is>
          <t>W</t>
        </is>
      </c>
      <c r="D620" s="2" t="inlineStr">
        <is>
          <t>Ref. SW-305, recessed combi-unit</t>
        </is>
      </c>
      <c r="E620" s="2" t="inlineStr">
        <is>
          <t>No</t>
        </is>
      </c>
      <c r="F620" s="2" t="n">
        <v>0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2</v>
      </c>
      <c r="O620" s="2" t="n">
        <v>0</v>
      </c>
      <c r="P620" s="2" t="n">
        <v>0</v>
      </c>
      <c r="Q620" s="2" t="n">
        <v>2</v>
      </c>
      <c r="R620" s="2" t="n">
        <v>2</v>
      </c>
      <c r="S620" s="2" t="n"/>
      <c r="T620" s="2">
        <f>IF(OR(S620="",R620=0),"",ROUND(S620*R620,2))</f>
        <v/>
      </c>
      <c r="U620" s="2" t="inlineStr"/>
    </row>
    <row r="621">
      <c r="A621" s="2" t="inlineStr">
        <is>
          <t>K</t>
        </is>
      </c>
      <c r="B621" s="2" t="inlineStr">
        <is>
          <t>TOILET ACCESSORIES</t>
        </is>
      </c>
      <c r="C621" s="2" t="inlineStr">
        <is>
          <t>X</t>
        </is>
      </c>
      <c r="D621" s="2" t="inlineStr">
        <is>
          <t>Ref. SW-306, wall mounted towel dispenser</t>
        </is>
      </c>
      <c r="E621" s="2" t="inlineStr">
        <is>
          <t>No</t>
        </is>
      </c>
      <c r="F621" s="2" t="n">
        <v>0</v>
      </c>
      <c r="G621" s="2" t="n">
        <v>0</v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1</v>
      </c>
      <c r="O621" s="2" t="n">
        <v>0</v>
      </c>
      <c r="P621" s="2" t="n">
        <v>0</v>
      </c>
      <c r="Q621" s="2" t="n">
        <v>1</v>
      </c>
      <c r="R621" s="2" t="n">
        <v>1</v>
      </c>
      <c r="S621" s="2" t="n"/>
      <c r="T621" s="2">
        <f>IF(OR(S621="",R621=0),"",ROUND(S621*R621,2))</f>
        <v/>
      </c>
      <c r="U621" s="2" t="inlineStr"/>
    </row>
    <row r="622">
      <c r="A622" s="2" t="inlineStr">
        <is>
          <t>K</t>
        </is>
      </c>
      <c r="B622" s="2" t="inlineStr">
        <is>
          <t>TOILET ACCESSORIES</t>
        </is>
      </c>
      <c r="C622" s="2" t="inlineStr">
        <is>
          <t>Y</t>
        </is>
      </c>
      <c r="D622" s="2" t="inlineStr">
        <is>
          <t>Ref. SW-307, wall mounted touchless soap dispenser</t>
        </is>
      </c>
      <c r="E622" s="2" t="inlineStr">
        <is>
          <t>No</t>
        </is>
      </c>
      <c r="F622" s="2" t="n">
        <v>0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1</v>
      </c>
      <c r="O622" s="2" t="n">
        <v>0</v>
      </c>
      <c r="P622" s="2" t="n">
        <v>0</v>
      </c>
      <c r="Q622" s="2" t="n">
        <v>1</v>
      </c>
      <c r="R622" s="2" t="n">
        <v>1</v>
      </c>
      <c r="S622" s="2" t="n"/>
      <c r="T622" s="2">
        <f>IF(OR(S622="",R622=0),"",ROUND(S622*R622,2))</f>
        <v/>
      </c>
      <c r="U622" s="2" t="inlineStr"/>
    </row>
    <row r="623">
      <c r="A623" s="2" t="inlineStr">
        <is>
          <t>K</t>
        </is>
      </c>
      <c r="B623" s="2" t="inlineStr">
        <is>
          <t>TOILET ACCESSORIES</t>
        </is>
      </c>
      <c r="C623" s="2" t="inlineStr">
        <is>
          <t>Z</t>
        </is>
      </c>
      <c r="D623" s="2" t="inlineStr">
        <is>
          <t>Ref. SW-310, assisted grab bars</t>
        </is>
      </c>
      <c r="E623" s="2" t="inlineStr">
        <is>
          <t>No</t>
        </is>
      </c>
      <c r="F623" s="2" t="n">
        <v>0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3</v>
      </c>
      <c r="O623" s="2" t="n">
        <v>0</v>
      </c>
      <c r="P623" s="2" t="n">
        <v>0</v>
      </c>
      <c r="Q623" s="2" t="n">
        <v>3</v>
      </c>
      <c r="R623" s="2" t="n">
        <v>3</v>
      </c>
      <c r="S623" s="2" t="n"/>
      <c r="T623" s="2">
        <f>IF(OR(S623="",R623=0),"",ROUND(S623*R623,2))</f>
        <v/>
      </c>
      <c r="U623" s="2" t="inlineStr"/>
    </row>
    <row r="624">
      <c r="A624" s="2" t="inlineStr">
        <is>
          <t>K</t>
        </is>
      </c>
      <c r="B624" s="2" t="inlineStr">
        <is>
          <t>VANITY COUNTERTOPS</t>
        </is>
      </c>
      <c r="C624" s="2" t="inlineStr">
        <is>
          <t>A</t>
        </is>
      </c>
      <c r="D624" s="2" t="inlineStr">
        <is>
          <t>size 1170mm L x 550mm W</t>
        </is>
      </c>
      <c r="E624" s="2" t="inlineStr">
        <is>
          <t>No</t>
        </is>
      </c>
      <c r="F624" s="2" t="n">
        <v>0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1</v>
      </c>
      <c r="M624" s="2" t="n">
        <v>1</v>
      </c>
      <c r="N624" s="2" t="n">
        <v>0</v>
      </c>
      <c r="O624" s="2" t="n">
        <v>0</v>
      </c>
      <c r="P624" s="2" t="n">
        <v>0</v>
      </c>
      <c r="Q624" s="2" t="n">
        <v>2</v>
      </c>
      <c r="R624" s="2" t="n">
        <v>37</v>
      </c>
      <c r="S624" s="2" t="n"/>
      <c r="T624" s="2">
        <f>IF(OR(S624="",R624=0),"",ROUND(S624*R624,2))</f>
        <v/>
      </c>
      <c r="U624" s="2" t="inlineStr"/>
    </row>
    <row r="625">
      <c r="A625" s="2" t="inlineStr">
        <is>
          <t>K</t>
        </is>
      </c>
      <c r="B625" s="2" t="inlineStr">
        <is>
          <t>VANITY COUNTERTOPS</t>
        </is>
      </c>
      <c r="C625" s="2" t="inlineStr">
        <is>
          <t>B</t>
        </is>
      </c>
      <c r="D625" s="2" t="inlineStr">
        <is>
          <t>size 1260mm L x 550mm W</t>
        </is>
      </c>
      <c r="E625" s="2" t="inlineStr">
        <is>
          <t>No</t>
        </is>
      </c>
      <c r="F625" s="2" t="n">
        <v>0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1</v>
      </c>
      <c r="M625" s="2" t="n">
        <v>1</v>
      </c>
      <c r="N625" s="2" t="n">
        <v>0</v>
      </c>
      <c r="O625" s="2" t="n">
        <v>0</v>
      </c>
      <c r="P625" s="2" t="n">
        <v>0</v>
      </c>
      <c r="Q625" s="2" t="n">
        <v>2</v>
      </c>
      <c r="R625" s="2" t="n">
        <v>37</v>
      </c>
      <c r="S625" s="2" t="n"/>
      <c r="T625" s="2">
        <f>IF(OR(S625="",R625=0),"",ROUND(S625*R625,2))</f>
        <v/>
      </c>
      <c r="U625" s="2" t="inlineStr"/>
    </row>
    <row r="626">
      <c r="A626" s="2" t="inlineStr">
        <is>
          <t>K</t>
        </is>
      </c>
      <c r="B626" s="2" t="inlineStr">
        <is>
          <t>VANITY COUNTERTOPS</t>
        </is>
      </c>
      <c r="C626" s="2" t="inlineStr">
        <is>
          <t>C</t>
        </is>
      </c>
      <c r="D626" s="2" t="inlineStr">
        <is>
          <t>size 1335mm L x 550mm W</t>
        </is>
      </c>
      <c r="E626" s="2" t="inlineStr">
        <is>
          <t>No</t>
        </is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1</v>
      </c>
      <c r="M626" s="2" t="n">
        <v>1</v>
      </c>
      <c r="N626" s="2" t="n">
        <v>0</v>
      </c>
      <c r="O626" s="2" t="n">
        <v>0</v>
      </c>
      <c r="P626" s="2" t="n">
        <v>0</v>
      </c>
      <c r="Q626" s="2" t="n">
        <v>2</v>
      </c>
      <c r="R626" s="2" t="n">
        <v>37</v>
      </c>
      <c r="S626" s="2" t="n"/>
      <c r="T626" s="2">
        <f>IF(OR(S626="",R626=0),"",ROUND(S626*R626,2))</f>
        <v/>
      </c>
      <c r="U626" s="2" t="inlineStr"/>
    </row>
    <row r="627">
      <c r="A627" s="2" t="inlineStr">
        <is>
          <t>K</t>
        </is>
      </c>
      <c r="B627" s="2" t="inlineStr">
        <is>
          <t>VANITY COUNTERTOPS</t>
        </is>
      </c>
      <c r="C627" s="2" t="inlineStr">
        <is>
          <t>D</t>
        </is>
      </c>
      <c r="D627" s="2" t="inlineStr">
        <is>
          <t>size 2470mm L x 550mm W</t>
        </is>
      </c>
      <c r="E627" s="2" t="inlineStr">
        <is>
          <t>No</t>
        </is>
      </c>
      <c r="F627" s="2" t="n">
        <v>0</v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1</v>
      </c>
      <c r="M627" s="2" t="n">
        <v>1</v>
      </c>
      <c r="N627" s="2" t="n">
        <v>0</v>
      </c>
      <c r="O627" s="2" t="n">
        <v>0</v>
      </c>
      <c r="P627" s="2" t="n">
        <v>0</v>
      </c>
      <c r="Q627" s="2" t="n">
        <v>2</v>
      </c>
      <c r="R627" s="2" t="n">
        <v>37</v>
      </c>
      <c r="S627" s="2" t="n"/>
      <c r="T627" s="2">
        <f>IF(OR(S627="",R627=0),"",ROUND(S627*R627,2))</f>
        <v/>
      </c>
      <c r="U627" s="2" t="inlineStr"/>
    </row>
    <row r="628">
      <c r="A628" s="2" t="inlineStr">
        <is>
          <t>K</t>
        </is>
      </c>
      <c r="B628" s="2" t="inlineStr">
        <is>
          <t>VANITY COUNTERTOPS</t>
        </is>
      </c>
      <c r="C628" s="2" t="inlineStr">
        <is>
          <t>E</t>
        </is>
      </c>
      <c r="D628" s="2" t="inlineStr">
        <is>
          <t>size 740mm L x 550mm W</t>
        </is>
      </c>
      <c r="E628" s="2" t="inlineStr">
        <is>
          <t>No</t>
        </is>
      </c>
      <c r="F628" s="2" t="n">
        <v>0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1</v>
      </c>
      <c r="M628" s="2" t="n">
        <v>1</v>
      </c>
      <c r="N628" s="2" t="n">
        <v>0</v>
      </c>
      <c r="O628" s="2" t="n">
        <v>0</v>
      </c>
      <c r="P628" s="2" t="n">
        <v>0</v>
      </c>
      <c r="Q628" s="2" t="n">
        <v>2</v>
      </c>
      <c r="R628" s="2" t="n">
        <v>37</v>
      </c>
      <c r="S628" s="2" t="n"/>
      <c r="T628" s="2">
        <f>IF(OR(S628="",R628=0),"",ROUND(S628*R628,2))</f>
        <v/>
      </c>
      <c r="U628" s="2" t="inlineStr"/>
    </row>
    <row r="629">
      <c r="A629" s="2" t="inlineStr">
        <is>
          <t>K</t>
        </is>
      </c>
      <c r="B629" s="2" t="inlineStr">
        <is>
          <t>VANITY COUNTERTOPS</t>
        </is>
      </c>
      <c r="C629" s="2" t="inlineStr">
        <is>
          <t>F</t>
        </is>
      </c>
      <c r="D629" s="2" t="inlineStr">
        <is>
          <t>size 870mm L x 550mm W</t>
        </is>
      </c>
      <c r="E629" s="2" t="inlineStr">
        <is>
          <t>No</t>
        </is>
      </c>
      <c r="F629" s="2" t="n">
        <v>0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1</v>
      </c>
      <c r="M629" s="2" t="n">
        <v>1</v>
      </c>
      <c r="N629" s="2" t="n">
        <v>0</v>
      </c>
      <c r="O629" s="2" t="n">
        <v>0</v>
      </c>
      <c r="P629" s="2" t="n">
        <v>0</v>
      </c>
      <c r="Q629" s="2" t="n">
        <v>2</v>
      </c>
      <c r="R629" s="2" t="n">
        <v>37</v>
      </c>
      <c r="S629" s="2" t="n"/>
      <c r="T629" s="2">
        <f>IF(OR(S629="",R629=0),"",ROUND(S629*R629,2))</f>
        <v/>
      </c>
      <c r="U629" s="2" t="inlineStr"/>
    </row>
    <row r="630">
      <c r="A630" s="2" t="inlineStr">
        <is>
          <t>K</t>
        </is>
      </c>
      <c r="B630" s="2" t="inlineStr">
        <is>
          <t>VANITY COUNTERTOPS</t>
        </is>
      </c>
      <c r="C630" s="2" t="inlineStr">
        <is>
          <t>G</t>
        </is>
      </c>
      <c r="D630" s="2" t="inlineStr">
        <is>
          <t>size 1070mm L x 550mm W</t>
        </is>
      </c>
      <c r="E630" s="2" t="inlineStr">
        <is>
          <t>No</t>
        </is>
      </c>
      <c r="F630" s="2" t="n">
        <v>2</v>
      </c>
      <c r="G630" s="2" t="n">
        <v>2</v>
      </c>
      <c r="H630" s="2" t="n">
        <v>2</v>
      </c>
      <c r="I630" s="2" t="n">
        <v>2</v>
      </c>
      <c r="J630" s="2" t="n">
        <v>2</v>
      </c>
      <c r="K630" s="2" t="n">
        <v>2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  <c r="Q630" s="2" t="n">
        <v>12</v>
      </c>
      <c r="R630" s="2" t="n">
        <v>184</v>
      </c>
      <c r="S630" s="2" t="n"/>
      <c r="T630" s="2">
        <f>IF(OR(S630="",R630=0),"",ROUND(S630*R630,2))</f>
        <v/>
      </c>
      <c r="U630" s="2" t="inlineStr"/>
    </row>
    <row r="631">
      <c r="A631" s="2" t="inlineStr">
        <is>
          <t>K</t>
        </is>
      </c>
      <c r="B631" s="2" t="inlineStr">
        <is>
          <t>VANITY COUNTERTOPS</t>
        </is>
      </c>
      <c r="C631" s="2" t="inlineStr">
        <is>
          <t>H</t>
        </is>
      </c>
      <c r="D631" s="2" t="inlineStr">
        <is>
          <t>size 1200mm L x 550mm W</t>
        </is>
      </c>
      <c r="E631" s="2" t="inlineStr">
        <is>
          <t>No</t>
        </is>
      </c>
      <c r="F631" s="2" t="n">
        <v>2</v>
      </c>
      <c r="G631" s="2" t="n">
        <v>2</v>
      </c>
      <c r="H631" s="2" t="n">
        <v>4</v>
      </c>
      <c r="I631" s="2" t="n">
        <v>4</v>
      </c>
      <c r="J631" s="2" t="n">
        <v>6</v>
      </c>
      <c r="K631" s="2" t="n">
        <v>6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  <c r="Q631" s="2" t="n">
        <v>24</v>
      </c>
      <c r="R631" s="2" t="n">
        <v>326</v>
      </c>
      <c r="S631" s="2" t="n"/>
      <c r="T631" s="2">
        <f>IF(OR(S631="",R631=0),"",ROUND(S631*R631,2))</f>
        <v/>
      </c>
      <c r="U631" s="2" t="inlineStr"/>
    </row>
    <row r="632">
      <c r="A632" s="2" t="inlineStr">
        <is>
          <t>K</t>
        </is>
      </c>
      <c r="B632" s="2" t="inlineStr">
        <is>
          <t>VANITY COUNTERTOPS</t>
        </is>
      </c>
      <c r="C632" s="2" t="inlineStr">
        <is>
          <t>J</t>
        </is>
      </c>
      <c r="D632" s="2" t="inlineStr">
        <is>
          <t>size 1570mm L x 550mm W</t>
        </is>
      </c>
      <c r="E632" s="2" t="inlineStr">
        <is>
          <t>No</t>
        </is>
      </c>
      <c r="F632" s="2" t="n">
        <v>2</v>
      </c>
      <c r="G632" s="2" t="n">
        <v>2</v>
      </c>
      <c r="H632" s="2" t="n">
        <v>2</v>
      </c>
      <c r="I632" s="2" t="n">
        <v>2</v>
      </c>
      <c r="J632" s="2" t="n">
        <v>2</v>
      </c>
      <c r="K632" s="2" t="n">
        <v>2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  <c r="Q632" s="2" t="n">
        <v>12</v>
      </c>
      <c r="R632" s="2" t="n">
        <v>184</v>
      </c>
      <c r="S632" s="2" t="n"/>
      <c r="T632" s="2">
        <f>IF(OR(S632="",R632=0),"",ROUND(S632*R632,2))</f>
        <v/>
      </c>
      <c r="U632" s="2" t="inlineStr"/>
    </row>
    <row r="633">
      <c r="A633" s="2" t="inlineStr">
        <is>
          <t>K</t>
        </is>
      </c>
      <c r="B633" s="2" t="inlineStr">
        <is>
          <t>VANITY COUNTERTOPS</t>
        </is>
      </c>
      <c r="C633" s="2" t="inlineStr">
        <is>
          <t>K</t>
        </is>
      </c>
      <c r="D633" s="2" t="inlineStr">
        <is>
          <t>size 885mm L x 550mm W</t>
        </is>
      </c>
      <c r="E633" s="2" t="inlineStr">
        <is>
          <t>No</t>
        </is>
      </c>
      <c r="F633" s="2" t="n">
        <v>2</v>
      </c>
      <c r="G633" s="2" t="n">
        <v>2</v>
      </c>
      <c r="H633" s="2" t="n">
        <v>4</v>
      </c>
      <c r="I633" s="2" t="n">
        <v>4</v>
      </c>
      <c r="J633" s="2" t="n">
        <v>6</v>
      </c>
      <c r="K633" s="2" t="n">
        <v>6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0</v>
      </c>
      <c r="Q633" s="2" t="n">
        <v>24</v>
      </c>
      <c r="R633" s="2" t="n">
        <v>326</v>
      </c>
      <c r="S633" s="2" t="n"/>
      <c r="T633" s="2">
        <f>IF(OR(S633="",R633=0),"",ROUND(S633*R633,2))</f>
        <v/>
      </c>
      <c r="U633" s="2" t="inlineStr"/>
    </row>
    <row r="634">
      <c r="A634" s="2" t="inlineStr">
        <is>
          <t>K</t>
        </is>
      </c>
      <c r="B634" s="2" t="inlineStr">
        <is>
          <t>VANITY COUNTERTOPS</t>
        </is>
      </c>
      <c r="C634" s="2" t="inlineStr">
        <is>
          <t>L</t>
        </is>
      </c>
      <c r="D634" s="2" t="inlineStr">
        <is>
          <t>size 900mm L x 550mm W</t>
        </is>
      </c>
      <c r="E634" s="2" t="inlineStr">
        <is>
          <t>No</t>
        </is>
      </c>
      <c r="F634" s="2" t="n">
        <v>2</v>
      </c>
      <c r="G634" s="2" t="n">
        <v>2</v>
      </c>
      <c r="H634" s="2" t="n">
        <v>4</v>
      </c>
      <c r="I634" s="2" t="n">
        <v>4</v>
      </c>
      <c r="J634" s="2" t="n">
        <v>6</v>
      </c>
      <c r="K634" s="2" t="n">
        <v>6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0</v>
      </c>
      <c r="Q634" s="2" t="n">
        <v>24</v>
      </c>
      <c r="R634" s="2" t="n">
        <v>326</v>
      </c>
      <c r="S634" s="2" t="n"/>
      <c r="T634" s="2">
        <f>IF(OR(S634="",R634=0),"",ROUND(S634*R634,2))</f>
        <v/>
      </c>
      <c r="U634" s="2" t="inlineStr"/>
    </row>
    <row r="635">
      <c r="A635" s="2" t="inlineStr">
        <is>
          <t>K</t>
        </is>
      </c>
      <c r="B635" s="2" t="inlineStr">
        <is>
          <t>VANITY COUNTERTOPS</t>
        </is>
      </c>
      <c r="C635" s="2" t="inlineStr">
        <is>
          <t>M</t>
        </is>
      </c>
      <c r="D635" s="2" t="inlineStr">
        <is>
          <t>size 920mm L x 550mm W</t>
        </is>
      </c>
      <c r="E635" s="2" t="inlineStr">
        <is>
          <t>No</t>
        </is>
      </c>
      <c r="F635" s="2" t="n">
        <v>4</v>
      </c>
      <c r="G635" s="2" t="n">
        <v>4</v>
      </c>
      <c r="H635" s="2" t="n">
        <v>4</v>
      </c>
      <c r="I635" s="2" t="n">
        <v>4</v>
      </c>
      <c r="J635" s="2" t="n">
        <v>4</v>
      </c>
      <c r="K635" s="2" t="n">
        <v>4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  <c r="Q635" s="2" t="n">
        <v>24</v>
      </c>
      <c r="R635" s="2" t="n">
        <v>368</v>
      </c>
      <c r="S635" s="2" t="n"/>
      <c r="T635" s="2">
        <f>IF(OR(S635="",R635=0),"",ROUND(S635*R635,2))</f>
        <v/>
      </c>
      <c r="U635" s="2" t="inlineStr"/>
    </row>
    <row r="636">
      <c r="A636" s="2" t="inlineStr">
        <is>
          <t>K</t>
        </is>
      </c>
      <c r="B636" s="2" t="inlineStr">
        <is>
          <t>VANITY COUNTERTOPS</t>
        </is>
      </c>
      <c r="C636" s="2" t="inlineStr">
        <is>
          <t>N</t>
        </is>
      </c>
      <c r="D636" s="2" t="inlineStr">
        <is>
          <t>Size 650mm L x 600mm W</t>
        </is>
      </c>
      <c r="E636" s="2" t="inlineStr">
        <is>
          <t>No</t>
        </is>
      </c>
      <c r="F636" s="2" t="n">
        <v>0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1</v>
      </c>
      <c r="P636" s="2" t="n">
        <v>0</v>
      </c>
      <c r="Q636" s="2" t="n">
        <v>1</v>
      </c>
      <c r="R636" s="2" t="n">
        <v>1</v>
      </c>
      <c r="S636" s="2" t="n"/>
      <c r="T636" s="2">
        <f>IF(OR(S636="",R636=0),"",ROUND(S636*R636,2))</f>
        <v/>
      </c>
      <c r="U636" s="2" t="inlineStr"/>
    </row>
    <row r="637">
      <c r="A637" s="2" t="inlineStr">
        <is>
          <t>K</t>
        </is>
      </c>
      <c r="B637" s="2" t="inlineStr">
        <is>
          <t>VANITY COUNTERTOPS</t>
        </is>
      </c>
      <c r="C637" s="2" t="inlineStr">
        <is>
          <t>P</t>
        </is>
      </c>
      <c r="D637" s="2" t="inlineStr">
        <is>
          <t>Size 650mm L x 100mm H</t>
        </is>
      </c>
      <c r="E637" s="2" t="inlineStr">
        <is>
          <t>No</t>
        </is>
      </c>
      <c r="F637" s="2" t="n">
        <v>0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1</v>
      </c>
      <c r="P637" s="2" t="n">
        <v>0</v>
      </c>
      <c r="Q637" s="2" t="n">
        <v>1</v>
      </c>
      <c r="R637" s="2" t="n">
        <v>1</v>
      </c>
      <c r="S637" s="2" t="n"/>
      <c r="T637" s="2">
        <f>IF(OR(S637="",R637=0),"",ROUND(S637*R637,2))</f>
        <v/>
      </c>
      <c r="U637" s="2" t="inlineStr"/>
    </row>
    <row r="638">
      <c r="A638" s="2" t="inlineStr">
        <is>
          <t>K</t>
        </is>
      </c>
      <c r="B638" s="2" t="inlineStr">
        <is>
          <t>VANITY COUNTERTOPS</t>
        </is>
      </c>
      <c r="C638" s="2" t="inlineStr">
        <is>
          <t>Q</t>
        </is>
      </c>
      <c r="D638" s="2" t="inlineStr">
        <is>
          <t>Vanity in stone finish overall size 2700mm L x 595mm W x 350mm H, as per drawing No. IDN-0173-00</t>
        </is>
      </c>
      <c r="E638" s="2" t="inlineStr">
        <is>
          <t>No</t>
        </is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6</v>
      </c>
      <c r="O638" s="2" t="n">
        <v>0</v>
      </c>
      <c r="P638" s="2" t="n">
        <v>0</v>
      </c>
      <c r="Q638" s="2" t="n">
        <v>6</v>
      </c>
      <c r="R638" s="2" t="n">
        <v>6</v>
      </c>
      <c r="S638" s="2" t="n"/>
      <c r="T638" s="2">
        <f>IF(OR(S638="",R638=0),"",ROUND(S638*R638,2))</f>
        <v/>
      </c>
      <c r="U638" s="2" t="inlineStr"/>
    </row>
    <row r="639">
      <c r="A639" s="2" t="inlineStr">
        <is>
          <t>K</t>
        </is>
      </c>
      <c r="B639" s="2" t="inlineStr">
        <is>
          <t>VANITY MIRRORS</t>
        </is>
      </c>
      <c r="C639" s="2" t="inlineStr">
        <is>
          <t>D</t>
        </is>
      </c>
      <c r="D639" s="2" t="inlineStr">
        <is>
          <t>Size 1075mm W x 1260mm H</t>
        </is>
      </c>
      <c r="E639" s="2" t="inlineStr">
        <is>
          <t>No</t>
        </is>
      </c>
      <c r="F639" s="2" t="n">
        <v>2</v>
      </c>
      <c r="G639" s="2" t="n">
        <v>2</v>
      </c>
      <c r="H639" s="2" t="n">
        <v>2</v>
      </c>
      <c r="I639" s="2" t="n">
        <v>2</v>
      </c>
      <c r="J639" s="2" t="n">
        <v>2</v>
      </c>
      <c r="K639" s="2" t="n">
        <v>2</v>
      </c>
      <c r="L639" s="2" t="n">
        <v>2</v>
      </c>
      <c r="M639" s="2" t="n">
        <v>2</v>
      </c>
      <c r="N639" s="2" t="n">
        <v>0</v>
      </c>
      <c r="O639" s="2" t="n">
        <v>0</v>
      </c>
      <c r="P639" s="2" t="n">
        <v>0</v>
      </c>
      <c r="Q639" s="2" t="n">
        <v>16</v>
      </c>
      <c r="R639" s="2" t="n">
        <v>258</v>
      </c>
      <c r="S639" s="2" t="n"/>
      <c r="T639" s="2">
        <f>IF(OR(S639="",R639=0),"",ROUND(S639*R639,2))</f>
        <v/>
      </c>
      <c r="U639" s="2" t="inlineStr"/>
    </row>
    <row r="640">
      <c r="A640" s="2" t="inlineStr">
        <is>
          <t>K</t>
        </is>
      </c>
      <c r="B640" s="2" t="inlineStr">
        <is>
          <t>VANITY MIRRORS</t>
        </is>
      </c>
      <c r="C640" s="2" t="inlineStr">
        <is>
          <t>E</t>
        </is>
      </c>
      <c r="D640" s="2" t="inlineStr">
        <is>
          <t>Size 1170mm W x 1260mm H</t>
        </is>
      </c>
      <c r="E640" s="2" t="inlineStr">
        <is>
          <t>No</t>
        </is>
      </c>
      <c r="F640" s="2" t="n">
        <v>2</v>
      </c>
      <c r="G640" s="2" t="n">
        <v>2</v>
      </c>
      <c r="H640" s="2" t="n">
        <v>2</v>
      </c>
      <c r="I640" s="2" t="n">
        <v>2</v>
      </c>
      <c r="J640" s="2" t="n">
        <v>2</v>
      </c>
      <c r="K640" s="2" t="n">
        <v>2</v>
      </c>
      <c r="L640" s="2" t="n">
        <v>1</v>
      </c>
      <c r="M640" s="2" t="n">
        <v>1</v>
      </c>
      <c r="N640" s="2" t="n">
        <v>0</v>
      </c>
      <c r="O640" s="2" t="n">
        <v>0</v>
      </c>
      <c r="P640" s="2" t="n">
        <v>0</v>
      </c>
      <c r="Q640" s="2" t="n">
        <v>14</v>
      </c>
      <c r="R640" s="2" t="n">
        <v>221</v>
      </c>
      <c r="S640" s="2" t="n"/>
      <c r="T640" s="2">
        <f>IF(OR(S640="",R640=0),"",ROUND(S640*R640,2))</f>
        <v/>
      </c>
      <c r="U640" s="2" t="inlineStr"/>
    </row>
    <row r="641">
      <c r="A641" s="2" t="inlineStr">
        <is>
          <t>K</t>
        </is>
      </c>
      <c r="B641" s="2" t="inlineStr">
        <is>
          <t>VANITY MIRRORS</t>
        </is>
      </c>
      <c r="C641" s="2" t="inlineStr">
        <is>
          <t>F</t>
        </is>
      </c>
      <c r="D641" s="2" t="inlineStr">
        <is>
          <t>Size 1335mm W x 1260mm H</t>
        </is>
      </c>
      <c r="E641" s="2" t="inlineStr">
        <is>
          <t>No</t>
        </is>
      </c>
      <c r="F641" s="2" t="n">
        <v>0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1</v>
      </c>
      <c r="M641" s="2" t="n">
        <v>1</v>
      </c>
      <c r="N641" s="2" t="n">
        <v>0</v>
      </c>
      <c r="O641" s="2" t="n">
        <v>0</v>
      </c>
      <c r="P641" s="2" t="n">
        <v>0</v>
      </c>
      <c r="Q641" s="2" t="n">
        <v>2</v>
      </c>
      <c r="R641" s="2" t="n">
        <v>37</v>
      </c>
      <c r="S641" s="2" t="n"/>
      <c r="T641" s="2">
        <f>IF(OR(S641="",R641=0),"",ROUND(S641*R641,2))</f>
        <v/>
      </c>
      <c r="U641" s="2" t="inlineStr"/>
    </row>
    <row r="642">
      <c r="A642" s="2" t="inlineStr">
        <is>
          <t>K</t>
        </is>
      </c>
      <c r="B642" s="2" t="inlineStr">
        <is>
          <t>VANITY MIRRORS</t>
        </is>
      </c>
      <c r="C642" s="2" t="inlineStr">
        <is>
          <t>G</t>
        </is>
      </c>
      <c r="D642" s="2" t="inlineStr">
        <is>
          <t>Size 740mm W x 1260mm H</t>
        </is>
      </c>
      <c r="E642" s="2" t="inlineStr">
        <is>
          <t>No</t>
        </is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2</v>
      </c>
      <c r="M642" s="2" t="n">
        <v>2</v>
      </c>
      <c r="N642" s="2" t="n">
        <v>0</v>
      </c>
      <c r="O642" s="2" t="n">
        <v>0</v>
      </c>
      <c r="P642" s="2" t="n">
        <v>0</v>
      </c>
      <c r="Q642" s="2" t="n">
        <v>4</v>
      </c>
      <c r="R642" s="2" t="n">
        <v>74</v>
      </c>
      <c r="S642" s="2" t="n"/>
      <c r="T642" s="2">
        <f>IF(OR(S642="",R642=0),"",ROUND(S642*R642,2))</f>
        <v/>
      </c>
      <c r="U642" s="2" t="inlineStr"/>
    </row>
    <row r="643">
      <c r="A643" s="2" t="inlineStr">
        <is>
          <t>K</t>
        </is>
      </c>
      <c r="B643" s="2" t="inlineStr">
        <is>
          <t>VANITY MIRRORS</t>
        </is>
      </c>
      <c r="C643" s="2" t="inlineStr">
        <is>
          <t>H</t>
        </is>
      </c>
      <c r="D643" s="2" t="inlineStr">
        <is>
          <t>Size 860mm W x 1260mm H</t>
        </is>
      </c>
      <c r="E643" s="2" t="inlineStr">
        <is>
          <t>No</t>
        </is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1</v>
      </c>
      <c r="M643" s="2" t="n">
        <v>1</v>
      </c>
      <c r="N643" s="2" t="n">
        <v>0</v>
      </c>
      <c r="O643" s="2" t="n">
        <v>0</v>
      </c>
      <c r="P643" s="2" t="n">
        <v>0</v>
      </c>
      <c r="Q643" s="2" t="n">
        <v>2</v>
      </c>
      <c r="R643" s="2" t="n">
        <v>37</v>
      </c>
      <c r="S643" s="2" t="n"/>
      <c r="T643" s="2">
        <f>IF(OR(S643="",R643=0),"",ROUND(S643*R643,2))</f>
        <v/>
      </c>
      <c r="U643" s="2" t="inlineStr"/>
    </row>
    <row r="644">
      <c r="A644" s="2" t="inlineStr">
        <is>
          <t>K</t>
        </is>
      </c>
      <c r="B644" s="2" t="inlineStr">
        <is>
          <t>VANITY MIRRORS</t>
        </is>
      </c>
      <c r="C644" s="2" t="inlineStr">
        <is>
          <t>J</t>
        </is>
      </c>
      <c r="D644" s="2" t="inlineStr">
        <is>
          <t>Size 870mm W x 1260mm H</t>
        </is>
      </c>
      <c r="E644" s="2" t="inlineStr">
        <is>
          <t>No</t>
        </is>
      </c>
      <c r="F644" s="2" t="n">
        <v>0</v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1</v>
      </c>
      <c r="M644" s="2" t="n">
        <v>1</v>
      </c>
      <c r="N644" s="2" t="n">
        <v>0</v>
      </c>
      <c r="O644" s="2" t="n">
        <v>0</v>
      </c>
      <c r="P644" s="2" t="n">
        <v>0</v>
      </c>
      <c r="Q644" s="2" t="n">
        <v>2</v>
      </c>
      <c r="R644" s="2" t="n">
        <v>37</v>
      </c>
      <c r="S644" s="2" t="n"/>
      <c r="T644" s="2">
        <f>IF(OR(S644="",R644=0),"",ROUND(S644*R644,2))</f>
        <v/>
      </c>
      <c r="U644" s="2" t="inlineStr"/>
    </row>
    <row r="645">
      <c r="A645" s="2" t="inlineStr">
        <is>
          <t>K</t>
        </is>
      </c>
      <c r="B645" s="2" t="inlineStr">
        <is>
          <t>VANITY MIRRORS</t>
        </is>
      </c>
      <c r="C645" s="2" t="inlineStr">
        <is>
          <t>K</t>
        </is>
      </c>
      <c r="D645" s="2" t="inlineStr">
        <is>
          <t>Size 800mm W x 1260mm H</t>
        </is>
      </c>
      <c r="E645" s="2" t="inlineStr">
        <is>
          <t>No</t>
        </is>
      </c>
      <c r="F645" s="2" t="n">
        <v>2</v>
      </c>
      <c r="G645" s="2" t="n">
        <v>2</v>
      </c>
      <c r="H645" s="2" t="n">
        <v>4</v>
      </c>
      <c r="I645" s="2" t="n">
        <v>4</v>
      </c>
      <c r="J645" s="2" t="n">
        <v>6</v>
      </c>
      <c r="K645" s="2" t="n">
        <v>6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0</v>
      </c>
      <c r="Q645" s="2" t="n">
        <v>24</v>
      </c>
      <c r="R645" s="2" t="n">
        <v>326</v>
      </c>
      <c r="S645" s="2" t="n"/>
      <c r="T645" s="2">
        <f>IF(OR(S645="",R645=0),"",ROUND(S645*R645,2))</f>
        <v/>
      </c>
      <c r="U645" s="2" t="inlineStr"/>
    </row>
    <row r="646">
      <c r="A646" s="2" t="inlineStr">
        <is>
          <t>K</t>
        </is>
      </c>
      <c r="B646" s="2" t="inlineStr">
        <is>
          <t>VANITY MIRRORS</t>
        </is>
      </c>
      <c r="C646" s="2" t="inlineStr">
        <is>
          <t>L</t>
        </is>
      </c>
      <c r="D646" s="2" t="inlineStr">
        <is>
          <t>Size 885mm W x 1260mm H</t>
        </is>
      </c>
      <c r="E646" s="2" t="inlineStr">
        <is>
          <t>No</t>
        </is>
      </c>
      <c r="F646" s="2" t="n">
        <v>2</v>
      </c>
      <c r="G646" s="2" t="n">
        <v>2</v>
      </c>
      <c r="H646" s="2" t="n">
        <v>4</v>
      </c>
      <c r="I646" s="2" t="n">
        <v>4</v>
      </c>
      <c r="J646" s="2" t="n">
        <v>6</v>
      </c>
      <c r="K646" s="2" t="n">
        <v>6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0</v>
      </c>
      <c r="Q646" s="2" t="n">
        <v>24</v>
      </c>
      <c r="R646" s="2" t="n">
        <v>326</v>
      </c>
      <c r="S646" s="2" t="n"/>
      <c r="T646" s="2">
        <f>IF(OR(S646="",R646=0),"",ROUND(S646*R646,2))</f>
        <v/>
      </c>
      <c r="U646" s="2" t="inlineStr"/>
    </row>
    <row r="647">
      <c r="A647" s="2" t="inlineStr">
        <is>
          <t>K</t>
        </is>
      </c>
      <c r="B647" s="2" t="inlineStr">
        <is>
          <t>VANITY MIRRORS</t>
        </is>
      </c>
      <c r="C647" s="2" t="inlineStr">
        <is>
          <t>M</t>
        </is>
      </c>
      <c r="D647" s="2" t="inlineStr">
        <is>
          <t>Size 900mm W x 1260mm H</t>
        </is>
      </c>
      <c r="E647" s="2" t="inlineStr">
        <is>
          <t>No</t>
        </is>
      </c>
      <c r="F647" s="2" t="n">
        <v>2</v>
      </c>
      <c r="G647" s="2" t="n">
        <v>2</v>
      </c>
      <c r="H647" s="2" t="n">
        <v>4</v>
      </c>
      <c r="I647" s="2" t="n">
        <v>4</v>
      </c>
      <c r="J647" s="2" t="n">
        <v>6</v>
      </c>
      <c r="K647" s="2" t="n">
        <v>6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0</v>
      </c>
      <c r="Q647" s="2" t="n">
        <v>24</v>
      </c>
      <c r="R647" s="2" t="n">
        <v>326</v>
      </c>
      <c r="S647" s="2" t="n"/>
      <c r="T647" s="2">
        <f>IF(OR(S647="",R647=0),"",ROUND(S647*R647,2))</f>
        <v/>
      </c>
      <c r="U647" s="2" t="inlineStr"/>
    </row>
    <row r="648">
      <c r="A648" s="2" t="inlineStr">
        <is>
          <t>K</t>
        </is>
      </c>
      <c r="B648" s="2" t="inlineStr">
        <is>
          <t>VANITY MIRRORS</t>
        </is>
      </c>
      <c r="C648" s="2" t="inlineStr">
        <is>
          <t>N</t>
        </is>
      </c>
      <c r="D648" s="2" t="inlineStr">
        <is>
          <t>Size 920mm W x 1260mm H</t>
        </is>
      </c>
      <c r="E648" s="2" t="inlineStr">
        <is>
          <t>No</t>
        </is>
      </c>
      <c r="F648" s="2" t="n">
        <v>4</v>
      </c>
      <c r="G648" s="2" t="n">
        <v>4</v>
      </c>
      <c r="H648" s="2" t="n">
        <v>4</v>
      </c>
      <c r="I648" s="2" t="n">
        <v>4</v>
      </c>
      <c r="J648" s="2" t="n">
        <v>4</v>
      </c>
      <c r="K648" s="2" t="n">
        <v>4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  <c r="Q648" s="2" t="n">
        <v>24</v>
      </c>
      <c r="R648" s="2" t="n">
        <v>368</v>
      </c>
      <c r="S648" s="2" t="n"/>
      <c r="T648" s="2">
        <f>IF(OR(S648="",R648=0),"",ROUND(S648*R648,2))</f>
        <v/>
      </c>
      <c r="U648" s="2" t="inlineStr"/>
    </row>
    <row r="649">
      <c r="A649" s="2" t="inlineStr">
        <is>
          <t>L</t>
        </is>
      </c>
      <c r="B649" s="2" t="inlineStr">
        <is>
          <t>WHITE GOODS</t>
        </is>
      </c>
      <c r="C649" s="2" t="inlineStr">
        <is>
          <t>A</t>
        </is>
      </c>
      <c r="D649" s="2" t="inlineStr">
        <is>
          <t>KE-101, Built-in Gas Oven</t>
        </is>
      </c>
      <c r="E649" s="2" t="inlineStr">
        <is>
          <t>No</t>
        </is>
      </c>
      <c r="F649" s="2" t="n">
        <v>4</v>
      </c>
      <c r="G649" s="2" t="n">
        <v>4</v>
      </c>
      <c r="H649" s="2" t="n">
        <v>6</v>
      </c>
      <c r="I649" s="2" t="n">
        <v>6</v>
      </c>
      <c r="J649" s="2" t="n">
        <v>8</v>
      </c>
      <c r="K649" s="2" t="n">
        <v>8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  <c r="Q649" s="2" t="n">
        <v>36</v>
      </c>
      <c r="R649" s="2" t="n">
        <v>510</v>
      </c>
      <c r="S649" s="2" t="n"/>
      <c r="T649" s="2">
        <f>IF(OR(S649="",R649=0),"",ROUND(S649*R649,2))</f>
        <v/>
      </c>
      <c r="U649" s="2" t="inlineStr"/>
    </row>
    <row r="650">
      <c r="A650" s="2" t="inlineStr">
        <is>
          <t>L</t>
        </is>
      </c>
      <c r="B650" s="2" t="inlineStr">
        <is>
          <t>WHITE GOODS</t>
        </is>
      </c>
      <c r="C650" s="2" t="inlineStr">
        <is>
          <t>B</t>
        </is>
      </c>
      <c r="D650" s="2" t="inlineStr">
        <is>
          <t>KE-102, Electric Hob</t>
        </is>
      </c>
      <c r="E650" s="2" t="inlineStr">
        <is>
          <t>No</t>
        </is>
      </c>
      <c r="F650" s="2" t="n">
        <v>4</v>
      </c>
      <c r="G650" s="2" t="n">
        <v>4</v>
      </c>
      <c r="H650" s="2" t="n">
        <v>6</v>
      </c>
      <c r="I650" s="2" t="n">
        <v>6</v>
      </c>
      <c r="J650" s="2" t="n">
        <v>8</v>
      </c>
      <c r="K650" s="2" t="n">
        <v>8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0</v>
      </c>
      <c r="Q650" s="2" t="n">
        <v>36</v>
      </c>
      <c r="R650" s="2" t="n">
        <v>510</v>
      </c>
      <c r="S650" s="2" t="n"/>
      <c r="T650" s="2">
        <f>IF(OR(S650="",R650=0),"",ROUND(S650*R650,2))</f>
        <v/>
      </c>
      <c r="U650" s="2" t="inlineStr"/>
    </row>
    <row r="651">
      <c r="A651" s="2" t="inlineStr">
        <is>
          <t>L</t>
        </is>
      </c>
      <c r="B651" s="2" t="inlineStr">
        <is>
          <t>WHITE GOODS</t>
        </is>
      </c>
      <c r="C651" s="2" t="inlineStr">
        <is>
          <t>C</t>
        </is>
      </c>
      <c r="D651" s="2" t="inlineStr">
        <is>
          <t>KE-103, Telescopic Hood</t>
        </is>
      </c>
      <c r="E651" s="2" t="inlineStr">
        <is>
          <t>No</t>
        </is>
      </c>
      <c r="F651" s="2" t="n">
        <v>4</v>
      </c>
      <c r="G651" s="2" t="n">
        <v>4</v>
      </c>
      <c r="H651" s="2" t="n">
        <v>6</v>
      </c>
      <c r="I651" s="2" t="n">
        <v>6</v>
      </c>
      <c r="J651" s="2" t="n">
        <v>8</v>
      </c>
      <c r="K651" s="2" t="n">
        <v>8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  <c r="Q651" s="2" t="n">
        <v>36</v>
      </c>
      <c r="R651" s="2" t="n">
        <v>510</v>
      </c>
      <c r="S651" s="2" t="n"/>
      <c r="T651" s="2">
        <f>IF(OR(S651="",R651=0),"",ROUND(S651*R651,2))</f>
        <v/>
      </c>
      <c r="U651" s="2" t="inlineStr"/>
    </row>
    <row r="652">
      <c r="A652" s="2" t="inlineStr">
        <is>
          <t>L</t>
        </is>
      </c>
      <c r="B652" s="2" t="inlineStr">
        <is>
          <t>WHITE GOODS</t>
        </is>
      </c>
      <c r="C652" s="2" t="inlineStr">
        <is>
          <t>D</t>
        </is>
      </c>
      <c r="D652" s="2" t="inlineStr">
        <is>
          <t>KE-104, Built-in Dish Washer</t>
        </is>
      </c>
      <c r="E652" s="2" t="inlineStr">
        <is>
          <t>No</t>
        </is>
      </c>
      <c r="F652" s="2" t="n">
        <v>4</v>
      </c>
      <c r="G652" s="2" t="n">
        <v>4</v>
      </c>
      <c r="H652" s="2" t="n">
        <v>6</v>
      </c>
      <c r="I652" s="2" t="n">
        <v>6</v>
      </c>
      <c r="J652" s="2" t="n">
        <v>8</v>
      </c>
      <c r="K652" s="2" t="n">
        <v>8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  <c r="Q652" s="2" t="n">
        <v>36</v>
      </c>
      <c r="R652" s="2" t="n">
        <v>510</v>
      </c>
      <c r="S652" s="2" t="n"/>
      <c r="T652" s="2">
        <f>IF(OR(S652="",R652=0),"",ROUND(S652*R652,2))</f>
        <v/>
      </c>
      <c r="U652" s="2" t="inlineStr"/>
    </row>
    <row r="653">
      <c r="A653" s="2" t="inlineStr">
        <is>
          <t>L</t>
        </is>
      </c>
      <c r="B653" s="2" t="inlineStr">
        <is>
          <t>WHITE GOODS</t>
        </is>
      </c>
      <c r="C653" s="2" t="inlineStr">
        <is>
          <t>E</t>
        </is>
      </c>
      <c r="D653" s="2" t="inlineStr">
        <is>
          <t>KE-105, Pull out bin</t>
        </is>
      </c>
      <c r="E653" s="2" t="inlineStr">
        <is>
          <t>No</t>
        </is>
      </c>
      <c r="F653" s="2" t="n">
        <v>4</v>
      </c>
      <c r="G653" s="2" t="n">
        <v>4</v>
      </c>
      <c r="H653" s="2" t="n">
        <v>6</v>
      </c>
      <c r="I653" s="2" t="n">
        <v>6</v>
      </c>
      <c r="J653" s="2" t="n">
        <v>8</v>
      </c>
      <c r="K653" s="2" t="n">
        <v>8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  <c r="Q653" s="2" t="n">
        <v>36</v>
      </c>
      <c r="R653" s="2" t="n">
        <v>510</v>
      </c>
      <c r="S653" s="2" t="n"/>
      <c r="T653" s="2">
        <f>IF(OR(S653="",R653=0),"",ROUND(S653*R653,2))</f>
        <v/>
      </c>
      <c r="U653" s="2" t="inlineStr"/>
    </row>
    <row r="654">
      <c r="A654" s="2" t="inlineStr">
        <is>
          <t>L</t>
        </is>
      </c>
      <c r="B654" s="2" t="inlineStr">
        <is>
          <t>WHITE GOODS</t>
        </is>
      </c>
      <c r="C654" s="2" t="inlineStr">
        <is>
          <t>F</t>
        </is>
      </c>
      <c r="D654" s="2" t="inlineStr">
        <is>
          <t>KE-106, Built-in Freezer Refrigerator</t>
        </is>
      </c>
      <c r="E654" s="2" t="inlineStr">
        <is>
          <t>No</t>
        </is>
      </c>
      <c r="F654" s="2" t="n">
        <v>4</v>
      </c>
      <c r="G654" s="2" t="n">
        <v>4</v>
      </c>
      <c r="H654" s="2" t="n">
        <v>6</v>
      </c>
      <c r="I654" s="2" t="n">
        <v>6</v>
      </c>
      <c r="J654" s="2" t="n">
        <v>8</v>
      </c>
      <c r="K654" s="2" t="n">
        <v>8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0</v>
      </c>
      <c r="Q654" s="2" t="n">
        <v>36</v>
      </c>
      <c r="R654" s="2" t="n">
        <v>510</v>
      </c>
      <c r="S654" s="2" t="n"/>
      <c r="T654" s="2">
        <f>IF(OR(S654="",R654=0),"",ROUND(S654*R654,2))</f>
        <v/>
      </c>
      <c r="U654" s="2" t="inlineStr"/>
    </row>
    <row r="655">
      <c r="A655" s="2" t="inlineStr">
        <is>
          <t>L</t>
        </is>
      </c>
      <c r="B655" s="2" t="inlineStr">
        <is>
          <t>WHITE GOODS</t>
        </is>
      </c>
      <c r="C655" s="2" t="inlineStr">
        <is>
          <t>G</t>
        </is>
      </c>
      <c r="D655" s="2" t="inlineStr">
        <is>
          <t>KE-100, Built-in Fridge</t>
        </is>
      </c>
      <c r="E655" s="2" t="inlineStr">
        <is>
          <t>No</t>
        </is>
      </c>
      <c r="F655" s="2" t="n">
        <v>0</v>
      </c>
      <c r="G655" s="2" t="n">
        <v>0</v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1</v>
      </c>
      <c r="M655" s="2" t="n">
        <v>1</v>
      </c>
      <c r="N655" s="2" t="n">
        <v>0</v>
      </c>
      <c r="O655" s="2" t="n">
        <v>0</v>
      </c>
      <c r="P655" s="2" t="n">
        <v>0</v>
      </c>
      <c r="Q655" s="2" t="n">
        <v>2</v>
      </c>
      <c r="R655" s="2" t="n">
        <v>37</v>
      </c>
      <c r="S655" s="2" t="n"/>
      <c r="T655" s="2">
        <f>IF(OR(S655="",R655=0),"",ROUND(S655*R655,2))</f>
        <v/>
      </c>
      <c r="U655" s="2" t="inlineStr"/>
    </row>
    <row r="656">
      <c r="A656" s="2" t="inlineStr">
        <is>
          <t>L</t>
        </is>
      </c>
      <c r="B656" s="2" t="inlineStr">
        <is>
          <t>WHITE GOODS</t>
        </is>
      </c>
      <c r="C656" s="2" t="inlineStr">
        <is>
          <t>H</t>
        </is>
      </c>
      <c r="D656" s="2" t="inlineStr">
        <is>
          <t>KE-101, Multifunction Oven</t>
        </is>
      </c>
      <c r="E656" s="2" t="inlineStr">
        <is>
          <t>No</t>
        </is>
      </c>
      <c r="F656" s="2" t="n">
        <v>0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1</v>
      </c>
      <c r="M656" s="2" t="n">
        <v>1</v>
      </c>
      <c r="N656" s="2" t="n">
        <v>0</v>
      </c>
      <c r="O656" s="2" t="n">
        <v>0</v>
      </c>
      <c r="P656" s="2" t="n">
        <v>0</v>
      </c>
      <c r="Q656" s="2" t="n">
        <v>2</v>
      </c>
      <c r="R656" s="2" t="n">
        <v>37</v>
      </c>
      <c r="S656" s="2" t="n"/>
      <c r="T656" s="2">
        <f>IF(OR(S656="",R656=0),"",ROUND(S656*R656,2))</f>
        <v/>
      </c>
      <c r="U656" s="2" t="inlineStr"/>
    </row>
    <row r="657">
      <c r="A657" s="2" t="inlineStr">
        <is>
          <t>L</t>
        </is>
      </c>
      <c r="B657" s="2" t="inlineStr">
        <is>
          <t>WHITE GOODS</t>
        </is>
      </c>
      <c r="C657" s="2" t="inlineStr">
        <is>
          <t>J</t>
        </is>
      </c>
      <c r="D657" s="2" t="inlineStr">
        <is>
          <t>KE-102, Telescopic Hood</t>
        </is>
      </c>
      <c r="E657" s="2" t="inlineStr">
        <is>
          <t>No</t>
        </is>
      </c>
      <c r="F657" s="2" t="n">
        <v>0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1</v>
      </c>
      <c r="M657" s="2" t="n">
        <v>1</v>
      </c>
      <c r="N657" s="2" t="n">
        <v>0</v>
      </c>
      <c r="O657" s="2" t="n">
        <v>0</v>
      </c>
      <c r="P657" s="2" t="n">
        <v>0</v>
      </c>
      <c r="Q657" s="2" t="n">
        <v>2</v>
      </c>
      <c r="R657" s="2" t="n">
        <v>37</v>
      </c>
      <c r="S657" s="2" t="n"/>
      <c r="T657" s="2">
        <f>IF(OR(S657="",R657=0),"",ROUND(S657*R657,2))</f>
        <v/>
      </c>
      <c r="U657" s="2" t="inlineStr"/>
    </row>
    <row r="658">
      <c r="A658" s="2" t="inlineStr">
        <is>
          <t>L</t>
        </is>
      </c>
      <c r="B658" s="2" t="inlineStr">
        <is>
          <t>WHITE GOODS</t>
        </is>
      </c>
      <c r="C658" s="2" t="inlineStr">
        <is>
          <t>K</t>
        </is>
      </c>
      <c r="D658" s="2" t="inlineStr">
        <is>
          <t>KE-103, Built-in Dish Washer</t>
        </is>
      </c>
      <c r="E658" s="2" t="inlineStr">
        <is>
          <t>No</t>
        </is>
      </c>
      <c r="F658" s="2" t="n">
        <v>0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1</v>
      </c>
      <c r="M658" s="2" t="n">
        <v>1</v>
      </c>
      <c r="N658" s="2" t="n">
        <v>0</v>
      </c>
      <c r="O658" s="2" t="n">
        <v>0</v>
      </c>
      <c r="P658" s="2" t="n">
        <v>0</v>
      </c>
      <c r="Q658" s="2" t="n">
        <v>2</v>
      </c>
      <c r="R658" s="2" t="n">
        <v>37</v>
      </c>
      <c r="S658" s="2" t="n"/>
      <c r="T658" s="2">
        <f>IF(OR(S658="",R658=0),"",ROUND(S658*R658,2))</f>
        <v/>
      </c>
      <c r="U658" s="2" t="inlineStr"/>
    </row>
    <row r="659">
      <c r="A659" s="2" t="inlineStr">
        <is>
          <t>L</t>
        </is>
      </c>
      <c r="B659" s="2" t="inlineStr">
        <is>
          <t>WHITE GOODS</t>
        </is>
      </c>
      <c r="C659" s="2" t="inlineStr">
        <is>
          <t>L</t>
        </is>
      </c>
      <c r="D659" s="2" t="inlineStr">
        <is>
          <t>KE-104, Pull out bin</t>
        </is>
      </c>
      <c r="E659" s="2" t="inlineStr">
        <is>
          <t>No</t>
        </is>
      </c>
      <c r="F659" s="2" t="n">
        <v>0</v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1</v>
      </c>
      <c r="M659" s="2" t="n">
        <v>1</v>
      </c>
      <c r="N659" s="2" t="n">
        <v>0</v>
      </c>
      <c r="O659" s="2" t="n">
        <v>0</v>
      </c>
      <c r="P659" s="2" t="n">
        <v>0</v>
      </c>
      <c r="Q659" s="2" t="n">
        <v>2</v>
      </c>
      <c r="R659" s="2" t="n">
        <v>37</v>
      </c>
      <c r="S659" s="2" t="n"/>
      <c r="T659" s="2">
        <f>IF(OR(S659="",R659=0),"",ROUND(S659*R659,2))</f>
        <v/>
      </c>
      <c r="U659" s="2" t="inlineStr"/>
    </row>
    <row r="660">
      <c r="A660" s="2" t="inlineStr">
        <is>
          <t>L</t>
        </is>
      </c>
      <c r="B660" s="2" t="inlineStr">
        <is>
          <t>WHITE GOODS</t>
        </is>
      </c>
      <c r="C660" s="2" t="inlineStr">
        <is>
          <t>M</t>
        </is>
      </c>
      <c r="D660" s="2" t="inlineStr">
        <is>
          <t>KE-105, Built-in Freezer</t>
        </is>
      </c>
      <c r="E660" s="2" t="inlineStr">
        <is>
          <t>No</t>
        </is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1</v>
      </c>
      <c r="M660" s="2" t="n">
        <v>1</v>
      </c>
      <c r="N660" s="2" t="n">
        <v>0</v>
      </c>
      <c r="O660" s="2" t="n">
        <v>0</v>
      </c>
      <c r="P660" s="2" t="n">
        <v>0</v>
      </c>
      <c r="Q660" s="2" t="n">
        <v>2</v>
      </c>
      <c r="R660" s="2" t="n">
        <v>37</v>
      </c>
      <c r="S660" s="2" t="n"/>
      <c r="T660" s="2">
        <f>IF(OR(S660="",R660=0),"",ROUND(S660*R660,2))</f>
        <v/>
      </c>
      <c r="U660" s="2" t="inlineStr"/>
    </row>
    <row r="661">
      <c r="A661" s="2" t="inlineStr">
        <is>
          <t>L</t>
        </is>
      </c>
      <c r="B661" s="2" t="inlineStr">
        <is>
          <t>WHITE GOODS</t>
        </is>
      </c>
      <c r="C661" s="2" t="inlineStr">
        <is>
          <t>N</t>
        </is>
      </c>
      <c r="D661" s="2" t="inlineStr">
        <is>
          <t>KE-106, Electric Hob</t>
        </is>
      </c>
      <c r="E661" s="2" t="inlineStr">
        <is>
          <t>No</t>
        </is>
      </c>
      <c r="F661" s="2" t="n">
        <v>0</v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0</v>
      </c>
      <c r="L661" s="2" t="n">
        <v>1</v>
      </c>
      <c r="M661" s="2" t="n">
        <v>1</v>
      </c>
      <c r="N661" s="2" t="n">
        <v>0</v>
      </c>
      <c r="O661" s="2" t="n">
        <v>0</v>
      </c>
      <c r="P661" s="2" t="n">
        <v>0</v>
      </c>
      <c r="Q661" s="2" t="n">
        <v>2</v>
      </c>
      <c r="R661" s="2" t="n">
        <v>37</v>
      </c>
      <c r="S661" s="2" t="n"/>
      <c r="T661" s="2">
        <f>IF(OR(S661="",R661=0),"",ROUND(S661*R661,2))</f>
        <v/>
      </c>
      <c r="U661" s="2" t="inlineStr"/>
    </row>
    <row r="662">
      <c r="A662" s="2" t="inlineStr">
        <is>
          <t>L</t>
        </is>
      </c>
      <c r="B662" s="2" t="inlineStr">
        <is>
          <t>WHITE GOODS</t>
        </is>
      </c>
      <c r="C662" s="2" t="inlineStr">
        <is>
          <t>P</t>
        </is>
      </c>
      <c r="D662" s="2" t="inlineStr">
        <is>
          <t>240 Ltr Recycling Waste bin ( to garbage room)</t>
        </is>
      </c>
      <c r="E662" s="2" t="inlineStr">
        <is>
          <t>No</t>
        </is>
      </c>
      <c r="F662" s="2" t="n">
        <v>4</v>
      </c>
      <c r="G662" s="2" t="n">
        <v>4</v>
      </c>
      <c r="H662" s="2" t="n">
        <v>6</v>
      </c>
      <c r="I662" s="2" t="n">
        <v>6</v>
      </c>
      <c r="J662" s="2" t="n">
        <v>8</v>
      </c>
      <c r="K662" s="2" t="n">
        <v>8</v>
      </c>
      <c r="L662" s="2" t="n">
        <v>1</v>
      </c>
      <c r="M662" s="2" t="n">
        <v>1</v>
      </c>
      <c r="N662" s="2" t="n">
        <v>0</v>
      </c>
      <c r="O662" s="2" t="n">
        <v>0</v>
      </c>
      <c r="P662" s="2" t="n">
        <v>0</v>
      </c>
      <c r="Q662" s="2" t="n">
        <v>38</v>
      </c>
      <c r="R662" s="2" t="n">
        <v>547</v>
      </c>
      <c r="S662" s="2" t="n"/>
      <c r="T662" s="2">
        <f>IF(OR(S662="",R662=0),"",ROUND(S662*R662,2))</f>
        <v/>
      </c>
      <c r="U662" s="2" t="inlineStr"/>
    </row>
    <row r="663">
      <c r="A663" s="2" t="inlineStr">
        <is>
          <t>L</t>
        </is>
      </c>
      <c r="B663" s="2" t="inlineStr">
        <is>
          <t>WHITE GOODS</t>
        </is>
      </c>
      <c r="C663" s="2" t="inlineStr">
        <is>
          <t>Q</t>
        </is>
      </c>
      <c r="D663" s="2" t="inlineStr">
        <is>
          <t>240 Ltr General Waste bin ( to garbage room)</t>
        </is>
      </c>
      <c r="E663" s="2" t="inlineStr">
        <is>
          <t>No</t>
        </is>
      </c>
      <c r="F663" s="2" t="n">
        <v>4</v>
      </c>
      <c r="G663" s="2" t="n">
        <v>4</v>
      </c>
      <c r="H663" s="2" t="n">
        <v>6</v>
      </c>
      <c r="I663" s="2" t="n">
        <v>6</v>
      </c>
      <c r="J663" s="2" t="n">
        <v>8</v>
      </c>
      <c r="K663" s="2" t="n">
        <v>8</v>
      </c>
      <c r="L663" s="2" t="n">
        <v>1</v>
      </c>
      <c r="M663" s="2" t="n">
        <v>1</v>
      </c>
      <c r="N663" s="2" t="n">
        <v>0</v>
      </c>
      <c r="O663" s="2" t="n">
        <v>0</v>
      </c>
      <c r="P663" s="2" t="n">
        <v>0</v>
      </c>
      <c r="Q663" s="2" t="n">
        <v>38</v>
      </c>
      <c r="R663" s="2" t="n">
        <v>547</v>
      </c>
      <c r="S663" s="2" t="n"/>
      <c r="T663" s="2">
        <f>IF(OR(S663="",R663=0),"",ROUND(S663*R663,2))</f>
        <v/>
      </c>
      <c r="U663" s="2" t="inlineStr"/>
    </row>
    <row r="664">
      <c r="A664" s="2" t="inlineStr">
        <is>
          <t>L</t>
        </is>
      </c>
      <c r="B664" s="2" t="inlineStr">
        <is>
          <t>WHITE GOODS</t>
        </is>
      </c>
      <c r="C664" s="2" t="inlineStr">
        <is>
          <t>R</t>
        </is>
      </c>
      <c r="D664" s="2" t="inlineStr">
        <is>
          <t>KE-100, Built-in Fridge</t>
        </is>
      </c>
      <c r="E664" s="2" t="inlineStr">
        <is>
          <t>No</t>
        </is>
      </c>
      <c r="F664" s="2" t="n">
        <v>0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1</v>
      </c>
      <c r="O664" s="2" t="n">
        <v>0</v>
      </c>
      <c r="P664" s="2" t="n">
        <v>0</v>
      </c>
      <c r="Q664" s="2" t="n">
        <v>1</v>
      </c>
      <c r="R664" s="2" t="n">
        <v>1</v>
      </c>
      <c r="S664" s="2" t="n"/>
      <c r="T664" s="2">
        <f>IF(OR(S664="",R664=0),"",ROUND(S664*R664,2))</f>
        <v/>
      </c>
      <c r="U664" s="2" t="inlineStr"/>
    </row>
    <row r="665">
      <c r="A665" s="2" t="inlineStr">
        <is>
          <t>L</t>
        </is>
      </c>
      <c r="B665" s="2" t="inlineStr">
        <is>
          <t>WHITE GOODS</t>
        </is>
      </c>
      <c r="C665" s="2" t="inlineStr">
        <is>
          <t>S</t>
        </is>
      </c>
      <c r="D665" s="2" t="inlineStr">
        <is>
          <t>EQ-100, Freestanding Coffee machine</t>
        </is>
      </c>
      <c r="E665" s="2" t="inlineStr">
        <is>
          <t>No</t>
        </is>
      </c>
      <c r="F665" s="2" t="n">
        <v>0</v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1</v>
      </c>
      <c r="O665" s="2" t="n">
        <v>0</v>
      </c>
      <c r="P665" s="2" t="n">
        <v>0</v>
      </c>
      <c r="Q665" s="2" t="n">
        <v>1</v>
      </c>
      <c r="R665" s="2" t="n">
        <v>1</v>
      </c>
      <c r="S665" s="2" t="n"/>
      <c r="T665" s="2">
        <f>IF(OR(S665="",R665=0),"",ROUND(S665*R665,2))</f>
        <v/>
      </c>
      <c r="U665" s="2" t="inlineStr"/>
    </row>
    <row r="666">
      <c r="A666" s="2" t="inlineStr">
        <is>
          <t>L</t>
        </is>
      </c>
      <c r="B666" s="2" t="inlineStr">
        <is>
          <t>WHITE GOODS</t>
        </is>
      </c>
      <c r="C666" s="2" t="inlineStr">
        <is>
          <t>T</t>
        </is>
      </c>
      <c r="D666" s="2" t="inlineStr">
        <is>
          <t>EQ-101, Water dispenser</t>
        </is>
      </c>
      <c r="E666" s="2" t="inlineStr">
        <is>
          <t>No</t>
        </is>
      </c>
      <c r="F666" s="2" t="n">
        <v>0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1</v>
      </c>
      <c r="O666" s="2" t="n">
        <v>0</v>
      </c>
      <c r="P666" s="2" t="n">
        <v>0</v>
      </c>
      <c r="Q666" s="2" t="n">
        <v>1</v>
      </c>
      <c r="R666" s="2" t="n">
        <v>1</v>
      </c>
      <c r="S666" s="2" t="n"/>
      <c r="T666" s="2">
        <f>IF(OR(S666="",R666=0),"",ROUND(S666*R666,2))</f>
        <v/>
      </c>
      <c r="U666" s="2" t="inlineStr"/>
    </row>
    <row r="667">
      <c r="A667" s="2" t="inlineStr">
        <is>
          <t>L</t>
        </is>
      </c>
      <c r="B667" s="2" t="inlineStr">
        <is>
          <t>WHITE GOODS</t>
        </is>
      </c>
      <c r="C667" s="2" t="inlineStr">
        <is>
          <t>U</t>
        </is>
      </c>
      <c r="D667" s="2" t="inlineStr">
        <is>
          <t>EQ-102, TV 55"</t>
        </is>
      </c>
      <c r="E667" s="2" t="inlineStr">
        <is>
          <t>No</t>
        </is>
      </c>
      <c r="F667" s="2" t="n">
        <v>0</v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1</v>
      </c>
      <c r="O667" s="2" t="n">
        <v>0</v>
      </c>
      <c r="P667" s="2" t="n">
        <v>0</v>
      </c>
      <c r="Q667" s="2" t="n">
        <v>1</v>
      </c>
      <c r="R667" s="2" t="n">
        <v>1</v>
      </c>
      <c r="S667" s="2" t="n"/>
      <c r="T667" s="2">
        <f>IF(OR(S667="",R667=0),"",ROUND(S667*R667,2))</f>
        <v/>
      </c>
      <c r="U667" s="2" t="inlineStr"/>
    </row>
    <row r="668">
      <c r="A668" s="2" t="inlineStr">
        <is>
          <t>L</t>
        </is>
      </c>
      <c r="B668" s="2" t="inlineStr">
        <is>
          <t>WHITE GOODS</t>
        </is>
      </c>
      <c r="C668" s="2" t="inlineStr">
        <is>
          <t>V</t>
        </is>
      </c>
      <c r="D668" s="2" t="inlineStr">
        <is>
          <t>EQ-103, TV 65"</t>
        </is>
      </c>
      <c r="E668" s="2" t="inlineStr">
        <is>
          <t>No</t>
        </is>
      </c>
      <c r="F668" s="2" t="n">
        <v>0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1</v>
      </c>
      <c r="O668" s="2" t="n">
        <v>0</v>
      </c>
      <c r="P668" s="2" t="n">
        <v>0</v>
      </c>
      <c r="Q668" s="2" t="n">
        <v>1</v>
      </c>
      <c r="R668" s="2" t="n">
        <v>1</v>
      </c>
      <c r="S668" s="2" t="n"/>
      <c r="T668" s="2">
        <f>IF(OR(S668="",R668=0),"",ROUND(S668*R668,2))</f>
        <v/>
      </c>
      <c r="U668" s="2" t="inlineStr"/>
    </row>
    <row r="669">
      <c r="A669" s="2" t="inlineStr">
        <is>
          <t>L</t>
        </is>
      </c>
      <c r="B669" s="2" t="inlineStr">
        <is>
          <t>WHITE GOODS</t>
        </is>
      </c>
      <c r="C669" s="2" t="inlineStr">
        <is>
          <t>W</t>
        </is>
      </c>
      <c r="D669" s="2" t="inlineStr">
        <is>
          <t>EQ-104, Bottom mounted waste bin with normal slide</t>
        </is>
      </c>
      <c r="E669" s="2" t="inlineStr">
        <is>
          <t>No</t>
        </is>
      </c>
      <c r="F669" s="2" t="n">
        <v>0</v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1</v>
      </c>
      <c r="O669" s="2" t="n">
        <v>0</v>
      </c>
      <c r="P669" s="2" t="n">
        <v>0</v>
      </c>
      <c r="Q669" s="2" t="n">
        <v>1</v>
      </c>
      <c r="R669" s="2" t="n">
        <v>1</v>
      </c>
      <c r="S669" s="2" t="n"/>
      <c r="T669" s="2">
        <f>IF(OR(S669="",R669=0),"",ROUND(S669*R669,2))</f>
        <v/>
      </c>
      <c r="U669" s="2" t="inlineStr"/>
    </row>
    <row r="670">
      <c r="A670" s="2" t="inlineStr">
        <is>
          <t>L</t>
        </is>
      </c>
      <c r="B670" s="2" t="inlineStr">
        <is>
          <t>WHITE GOODS</t>
        </is>
      </c>
      <c r="C670" s="2" t="inlineStr">
        <is>
          <t>X</t>
        </is>
      </c>
      <c r="D670" s="2" t="inlineStr">
        <is>
          <t>EQ-105, Drip tray</t>
        </is>
      </c>
      <c r="E670" s="2" t="inlineStr">
        <is>
          <t>No</t>
        </is>
      </c>
      <c r="F670" s="2" t="n">
        <v>0</v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1</v>
      </c>
      <c r="O670" s="2" t="n">
        <v>0</v>
      </c>
      <c r="P670" s="2" t="n">
        <v>0</v>
      </c>
      <c r="Q670" s="2" t="n">
        <v>1</v>
      </c>
      <c r="R670" s="2" t="n">
        <v>1</v>
      </c>
      <c r="S670" s="2" t="n"/>
      <c r="T670" s="2">
        <f>IF(OR(S670="",R670=0),"",ROUND(S670*R670,2))</f>
        <v/>
      </c>
      <c r="U670" s="2" t="inlineStr"/>
    </row>
    <row r="671">
      <c r="A671" s="2" t="inlineStr">
        <is>
          <t>M</t>
        </is>
      </c>
      <c r="B671" s="2" t="inlineStr">
        <is>
          <t>COLLECTION</t>
        </is>
      </c>
      <c r="C671" s="2" t="inlineStr">
        <is>
          <t>A</t>
        </is>
      </c>
      <c r="D671" s="2" t="inlineStr">
        <is>
          <t>Ref. GE-100, Aspire Tredmil with SL console</t>
        </is>
      </c>
      <c r="E671" s="2" t="inlineStr">
        <is>
          <t>No</t>
        </is>
      </c>
      <c r="F671" s="2" t="n">
        <v>0</v>
      </c>
      <c r="G671" s="2" t="n">
        <v>0</v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4</v>
      </c>
      <c r="O671" s="2" t="n">
        <v>0</v>
      </c>
      <c r="P671" s="2" t="n">
        <v>0</v>
      </c>
      <c r="Q671" s="2" t="n">
        <v>4</v>
      </c>
      <c r="R671" s="2" t="n">
        <v>4</v>
      </c>
      <c r="S671" s="2" t="n"/>
      <c r="T671" s="2">
        <f>IF(OR(S671="",R671=0),"",ROUND(S671*R671,2))</f>
        <v/>
      </c>
      <c r="U671" s="2" t="inlineStr"/>
    </row>
    <row r="672">
      <c r="A672" s="2" t="inlineStr">
        <is>
          <t>M</t>
        </is>
      </c>
      <c r="B672" s="2" t="inlineStr">
        <is>
          <t>COLLECTION</t>
        </is>
      </c>
      <c r="C672" s="2" t="inlineStr">
        <is>
          <t>A</t>
        </is>
      </c>
      <c r="D672" s="2" t="inlineStr">
        <is>
          <t>Ref. Lf-100, Side Table</t>
        </is>
      </c>
      <c r="E672" s="2" t="inlineStr">
        <is>
          <t>No</t>
        </is>
      </c>
      <c r="F672" s="2" t="n">
        <v>0</v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1</v>
      </c>
      <c r="O672" s="2" t="n">
        <v>0</v>
      </c>
      <c r="P672" s="2" t="n">
        <v>0</v>
      </c>
      <c r="Q672" s="2" t="n">
        <v>1</v>
      </c>
      <c r="R672" s="2" t="n">
        <v>1</v>
      </c>
      <c r="S672" s="2" t="n"/>
      <c r="T672" s="2">
        <f>IF(OR(S672="",R672=0),"",ROUND(S672*R672,2))</f>
        <v/>
      </c>
      <c r="U672" s="2" t="inlineStr"/>
    </row>
    <row r="673">
      <c r="A673" s="2" t="inlineStr">
        <is>
          <t>M</t>
        </is>
      </c>
      <c r="B673" s="2" t="inlineStr">
        <is>
          <t>COLLECTION</t>
        </is>
      </c>
      <c r="C673" s="2" t="inlineStr">
        <is>
          <t>AA</t>
        </is>
      </c>
      <c r="D673" s="2" t="inlineStr">
        <is>
          <t>Ref.AX-116,ART WORK @ GYM</t>
        </is>
      </c>
      <c r="E673" s="2" t="inlineStr">
        <is>
          <t>No</t>
        </is>
      </c>
      <c r="F673" s="2" t="n">
        <v>0</v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1</v>
      </c>
      <c r="O673" s="2" t="n">
        <v>0</v>
      </c>
      <c r="P673" s="2" t="n">
        <v>0</v>
      </c>
      <c r="Q673" s="2" t="n">
        <v>1</v>
      </c>
      <c r="R673" s="2" t="n">
        <v>1</v>
      </c>
      <c r="S673" s="2" t="n"/>
      <c r="T673" s="2">
        <f>IF(OR(S673="",R673=0),"",ROUND(S673*R673,2))</f>
        <v/>
      </c>
      <c r="U673" s="2" t="inlineStr"/>
    </row>
    <row r="674">
      <c r="A674" s="2" t="inlineStr">
        <is>
          <t>M</t>
        </is>
      </c>
      <c r="B674" s="2" t="inlineStr">
        <is>
          <t>COLLECTION</t>
        </is>
      </c>
      <c r="C674" s="2" t="inlineStr">
        <is>
          <t>B</t>
        </is>
      </c>
      <c r="D674" s="2" t="inlineStr">
        <is>
          <t>Ref. EQ-101, Water Dispenser</t>
        </is>
      </c>
      <c r="E674" s="2" t="inlineStr">
        <is>
          <t>No</t>
        </is>
      </c>
      <c r="F674" s="2" t="n">
        <v>0</v>
      </c>
      <c r="G674" s="2" t="n">
        <v>0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1</v>
      </c>
      <c r="O674" s="2" t="n">
        <v>0</v>
      </c>
      <c r="P674" s="2" t="n">
        <v>0</v>
      </c>
      <c r="Q674" s="2" t="n">
        <v>1</v>
      </c>
      <c r="R674" s="2" t="n">
        <v>1</v>
      </c>
      <c r="S674" s="2" t="n"/>
      <c r="T674" s="2">
        <f>IF(OR(S674="",R674=0),"",ROUND(S674*R674,2))</f>
        <v/>
      </c>
      <c r="U674" s="2" t="inlineStr"/>
    </row>
    <row r="675">
      <c r="A675" s="2" t="inlineStr">
        <is>
          <t>M</t>
        </is>
      </c>
      <c r="B675" s="2" t="inlineStr">
        <is>
          <t>COLLECTION</t>
        </is>
      </c>
      <c r="C675" s="2" t="inlineStr">
        <is>
          <t>B</t>
        </is>
      </c>
      <c r="D675" s="2" t="inlineStr">
        <is>
          <t>Ref. Lf-101, Coffe Table</t>
        </is>
      </c>
      <c r="E675" s="2" t="inlineStr">
        <is>
          <t>No</t>
        </is>
      </c>
      <c r="F675" s="2" t="n">
        <v>0</v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4</v>
      </c>
      <c r="O675" s="2" t="n">
        <v>0</v>
      </c>
      <c r="P675" s="2" t="n">
        <v>0</v>
      </c>
      <c r="Q675" s="2" t="n">
        <v>4</v>
      </c>
      <c r="R675" s="2" t="n">
        <v>4</v>
      </c>
      <c r="S675" s="2" t="n"/>
      <c r="T675" s="2">
        <f>IF(OR(S675="",R675=0),"",ROUND(S675*R675,2))</f>
        <v/>
      </c>
      <c r="U675" s="2" t="inlineStr"/>
    </row>
    <row r="676">
      <c r="A676" s="2" t="inlineStr">
        <is>
          <t>M</t>
        </is>
      </c>
      <c r="B676" s="2" t="inlineStr">
        <is>
          <t>COLLECTION</t>
        </is>
      </c>
      <c r="C676" s="2" t="inlineStr">
        <is>
          <t>C</t>
        </is>
      </c>
      <c r="D676" s="2" t="inlineStr">
        <is>
          <t>Ref.EQ-102, 5" Inch TV</t>
        </is>
      </c>
      <c r="E676" s="2" t="inlineStr">
        <is>
          <t>No</t>
        </is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2</v>
      </c>
      <c r="O676" s="2" t="n">
        <v>0</v>
      </c>
      <c r="P676" s="2" t="n">
        <v>0</v>
      </c>
      <c r="Q676" s="2" t="n">
        <v>2</v>
      </c>
      <c r="R676" s="2" t="n">
        <v>2</v>
      </c>
      <c r="S676" s="2" t="n"/>
      <c r="T676" s="2">
        <f>IF(OR(S676="",R676=0),"",ROUND(S676*R676,2))</f>
        <v/>
      </c>
      <c r="U676" s="2" t="inlineStr"/>
    </row>
    <row r="677">
      <c r="A677" s="2" t="inlineStr">
        <is>
          <t>M</t>
        </is>
      </c>
      <c r="B677" s="2" t="inlineStr">
        <is>
          <t>COLLECTION</t>
        </is>
      </c>
      <c r="C677" s="2" t="inlineStr">
        <is>
          <t>C</t>
        </is>
      </c>
      <c r="D677" s="2" t="inlineStr">
        <is>
          <t>Ref. Lf-102, Console Table</t>
        </is>
      </c>
      <c r="E677" s="2" t="inlineStr">
        <is>
          <t>No</t>
        </is>
      </c>
      <c r="F677" s="2" t="n">
        <v>0</v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1</v>
      </c>
      <c r="O677" s="2" t="n">
        <v>0</v>
      </c>
      <c r="P677" s="2" t="n">
        <v>0</v>
      </c>
      <c r="Q677" s="2" t="n">
        <v>1</v>
      </c>
      <c r="R677" s="2" t="n">
        <v>1</v>
      </c>
      <c r="S677" s="2" t="n"/>
      <c r="T677" s="2">
        <f>IF(OR(S677="",R677=0),"",ROUND(S677*R677,2))</f>
        <v/>
      </c>
      <c r="U677" s="2" t="inlineStr"/>
    </row>
    <row r="678">
      <c r="A678" s="2" t="inlineStr">
        <is>
          <t>M</t>
        </is>
      </c>
      <c r="B678" s="2" t="inlineStr">
        <is>
          <t>COLLECTION</t>
        </is>
      </c>
      <c r="C678" s="2" t="inlineStr">
        <is>
          <t>D</t>
        </is>
      </c>
      <c r="D678" s="2" t="inlineStr">
        <is>
          <t>Ref. GE-101, Aspire Elliptical Cross Trainer with SL Console</t>
        </is>
      </c>
      <c r="E678" s="2" t="inlineStr">
        <is>
          <t>No</t>
        </is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2</v>
      </c>
      <c r="O678" s="2" t="n">
        <v>0</v>
      </c>
      <c r="P678" s="2" t="n">
        <v>0</v>
      </c>
      <c r="Q678" s="2" t="n">
        <v>2</v>
      </c>
      <c r="R678" s="2" t="n">
        <v>2</v>
      </c>
      <c r="S678" s="2" t="n"/>
      <c r="T678" s="2">
        <f>IF(OR(S678="",R678=0),"",ROUND(S678*R678,2))</f>
        <v/>
      </c>
      <c r="U678" s="2" t="inlineStr"/>
    </row>
    <row r="679">
      <c r="A679" s="2" t="inlineStr">
        <is>
          <t>M</t>
        </is>
      </c>
      <c r="B679" s="2" t="inlineStr">
        <is>
          <t>COLLECTION</t>
        </is>
      </c>
      <c r="C679" s="2" t="inlineStr">
        <is>
          <t>D</t>
        </is>
      </c>
      <c r="D679" s="2" t="inlineStr">
        <is>
          <t>Ref. Lf-103, Foosball Table</t>
        </is>
      </c>
      <c r="E679" s="2" t="inlineStr">
        <is>
          <t>No</t>
        </is>
      </c>
      <c r="F679" s="2" t="n">
        <v>0</v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1</v>
      </c>
      <c r="O679" s="2" t="n">
        <v>0</v>
      </c>
      <c r="P679" s="2" t="n">
        <v>0</v>
      </c>
      <c r="Q679" s="2" t="n">
        <v>1</v>
      </c>
      <c r="R679" s="2" t="n">
        <v>1</v>
      </c>
      <c r="S679" s="2" t="n"/>
      <c r="T679" s="2">
        <f>IF(OR(S679="",R679=0),"",ROUND(S679*R679,2))</f>
        <v/>
      </c>
      <c r="U679" s="2" t="inlineStr"/>
    </row>
    <row r="680">
      <c r="A680" s="2" t="inlineStr">
        <is>
          <t>M</t>
        </is>
      </c>
      <c r="B680" s="2" t="inlineStr">
        <is>
          <t>COLLECTION</t>
        </is>
      </c>
      <c r="C680" s="2" t="inlineStr">
        <is>
          <t>E</t>
        </is>
      </c>
      <c r="D680" s="2" t="inlineStr">
        <is>
          <t>Ref. GE-102, Aspire Recumbent Bike with SL Console</t>
        </is>
      </c>
      <c r="E680" s="2" t="inlineStr">
        <is>
          <t>No</t>
        </is>
      </c>
      <c r="F680" s="2" t="n">
        <v>0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1</v>
      </c>
      <c r="O680" s="2" t="n">
        <v>0</v>
      </c>
      <c r="P680" s="2" t="n">
        <v>0</v>
      </c>
      <c r="Q680" s="2" t="n">
        <v>1</v>
      </c>
      <c r="R680" s="2" t="n">
        <v>1</v>
      </c>
      <c r="S680" s="2" t="n"/>
      <c r="T680" s="2">
        <f>IF(OR(S680="",R680=0),"",ROUND(S680*R680,2))</f>
        <v/>
      </c>
      <c r="U680" s="2" t="inlineStr"/>
    </row>
    <row r="681">
      <c r="A681" s="2" t="inlineStr">
        <is>
          <t>M</t>
        </is>
      </c>
      <c r="B681" s="2" t="inlineStr">
        <is>
          <t>COLLECTION</t>
        </is>
      </c>
      <c r="C681" s="2" t="inlineStr">
        <is>
          <t>E</t>
        </is>
      </c>
      <c r="D681" s="2" t="inlineStr">
        <is>
          <t>Ref. Lf-104, Pool Table</t>
        </is>
      </c>
      <c r="E681" s="2" t="inlineStr">
        <is>
          <t>No</t>
        </is>
      </c>
      <c r="F681" s="2" t="n">
        <v>0</v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1</v>
      </c>
      <c r="O681" s="2" t="n">
        <v>0</v>
      </c>
      <c r="P681" s="2" t="n">
        <v>0</v>
      </c>
      <c r="Q681" s="2" t="n">
        <v>1</v>
      </c>
      <c r="R681" s="2" t="n">
        <v>1</v>
      </c>
      <c r="S681" s="2" t="n"/>
      <c r="T681" s="2">
        <f>IF(OR(S681="",R681=0),"",ROUND(S681*R681,2))</f>
        <v/>
      </c>
      <c r="U681" s="2" t="inlineStr"/>
    </row>
    <row r="682">
      <c r="A682" s="2" t="inlineStr">
        <is>
          <t>M</t>
        </is>
      </c>
      <c r="B682" s="2" t="inlineStr">
        <is>
          <t>COLLECTION</t>
        </is>
      </c>
      <c r="C682" s="2" t="inlineStr">
        <is>
          <t>F</t>
        </is>
      </c>
      <c r="D682" s="2" t="inlineStr">
        <is>
          <t>Ref. GE-103, Aspire Upright Bike with SL Consol</t>
        </is>
      </c>
      <c r="E682" s="2" t="inlineStr">
        <is>
          <t>No</t>
        </is>
      </c>
      <c r="F682" s="2" t="n">
        <v>0</v>
      </c>
      <c r="G682" s="2" t="n">
        <v>0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1</v>
      </c>
      <c r="O682" s="2" t="n">
        <v>0</v>
      </c>
      <c r="P682" s="2" t="n">
        <v>0</v>
      </c>
      <c r="Q682" s="2" t="n">
        <v>1</v>
      </c>
      <c r="R682" s="2" t="n">
        <v>1</v>
      </c>
      <c r="S682" s="2" t="n"/>
      <c r="T682" s="2">
        <f>IF(OR(S682="",R682=0),"",ROUND(S682*R682,2))</f>
        <v/>
      </c>
      <c r="U682" s="2" t="inlineStr"/>
    </row>
    <row r="683">
      <c r="A683" s="2" t="inlineStr">
        <is>
          <t>M</t>
        </is>
      </c>
      <c r="B683" s="2" t="inlineStr">
        <is>
          <t>COLLECTION</t>
        </is>
      </c>
      <c r="C683" s="2" t="inlineStr">
        <is>
          <t>F</t>
        </is>
      </c>
      <c r="D683" s="2" t="inlineStr">
        <is>
          <t>Ref. Lf-108, L Shape Sofa</t>
        </is>
      </c>
      <c r="E683" s="2" t="inlineStr">
        <is>
          <t>No</t>
        </is>
      </c>
      <c r="F683" s="2" t="n">
        <v>0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2</v>
      </c>
      <c r="O683" s="2" t="n">
        <v>0</v>
      </c>
      <c r="P683" s="2" t="n">
        <v>0</v>
      </c>
      <c r="Q683" s="2" t="n">
        <v>2</v>
      </c>
      <c r="R683" s="2" t="n">
        <v>2</v>
      </c>
      <c r="S683" s="2" t="n"/>
      <c r="T683" s="2">
        <f>IF(OR(S683="",R683=0),"",ROUND(S683*R683,2))</f>
        <v/>
      </c>
      <c r="U683" s="2" t="inlineStr"/>
    </row>
    <row r="684">
      <c r="A684" s="2" t="inlineStr">
        <is>
          <t>M</t>
        </is>
      </c>
      <c r="B684" s="2" t="inlineStr">
        <is>
          <t>COLLECTION</t>
        </is>
      </c>
      <c r="C684" s="2" t="inlineStr">
        <is>
          <t>G</t>
        </is>
      </c>
      <c r="D684" s="2" t="inlineStr">
        <is>
          <t>Ref. GE-104, Indoor Rower Model D with PM5 Monitor</t>
        </is>
      </c>
      <c r="E684" s="2" t="inlineStr">
        <is>
          <t>No</t>
        </is>
      </c>
      <c r="F684" s="2" t="n">
        <v>0</v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1</v>
      </c>
      <c r="O684" s="2" t="n">
        <v>0</v>
      </c>
      <c r="P684" s="2" t="n">
        <v>0</v>
      </c>
      <c r="Q684" s="2" t="n">
        <v>1</v>
      </c>
      <c r="R684" s="2" t="n">
        <v>1</v>
      </c>
      <c r="S684" s="2" t="n"/>
      <c r="T684" s="2">
        <f>IF(OR(S684="",R684=0),"",ROUND(S684*R684,2))</f>
        <v/>
      </c>
      <c r="U684" s="2" t="inlineStr"/>
    </row>
    <row r="685">
      <c r="A685" s="2" t="inlineStr">
        <is>
          <t>M</t>
        </is>
      </c>
      <c r="B685" s="2" t="inlineStr">
        <is>
          <t>COLLECTION</t>
        </is>
      </c>
      <c r="C685" s="2" t="inlineStr">
        <is>
          <t>G</t>
        </is>
      </c>
      <c r="D685" s="2" t="inlineStr">
        <is>
          <t>Ref. Lf-109, Cushion</t>
        </is>
      </c>
      <c r="E685" s="2" t="inlineStr">
        <is>
          <t>No</t>
        </is>
      </c>
      <c r="F685" s="2" t="n">
        <v>0</v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2</v>
      </c>
      <c r="O685" s="2" t="n">
        <v>0</v>
      </c>
      <c r="P685" s="2" t="n">
        <v>0</v>
      </c>
      <c r="Q685" s="2" t="n">
        <v>2</v>
      </c>
      <c r="R685" s="2" t="n">
        <v>2</v>
      </c>
      <c r="S685" s="2" t="n"/>
      <c r="T685" s="2">
        <f>IF(OR(S685="",R685=0),"",ROUND(S685*R685,2))</f>
        <v/>
      </c>
      <c r="U685" s="2" t="inlineStr"/>
    </row>
    <row r="686">
      <c r="A686" s="2" t="inlineStr">
        <is>
          <t>M</t>
        </is>
      </c>
      <c r="B686" s="2" t="inlineStr">
        <is>
          <t>COLLECTION</t>
        </is>
      </c>
      <c r="C686" s="2" t="inlineStr">
        <is>
          <t>H</t>
        </is>
      </c>
      <c r="D686" s="2" t="inlineStr">
        <is>
          <t>Ref. GE-105, Back Extension</t>
        </is>
      </c>
      <c r="E686" s="2" t="inlineStr">
        <is>
          <t>No</t>
        </is>
      </c>
      <c r="F686" s="2" t="n">
        <v>0</v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1</v>
      </c>
      <c r="O686" s="2" t="n">
        <v>0</v>
      </c>
      <c r="P686" s="2" t="n">
        <v>0</v>
      </c>
      <c r="Q686" s="2" t="n">
        <v>1</v>
      </c>
      <c r="R686" s="2" t="n">
        <v>1</v>
      </c>
      <c r="S686" s="2" t="n"/>
      <c r="T686" s="2">
        <f>IF(OR(S686="",R686=0),"",ROUND(S686*R686,2))</f>
        <v/>
      </c>
      <c r="U686" s="2" t="inlineStr"/>
    </row>
    <row r="687">
      <c r="A687" s="2" t="inlineStr">
        <is>
          <t>M</t>
        </is>
      </c>
      <c r="B687" s="2" t="inlineStr">
        <is>
          <t>COLLECTION</t>
        </is>
      </c>
      <c r="C687" s="2" t="inlineStr">
        <is>
          <t>H</t>
        </is>
      </c>
      <c r="D687" s="2" t="inlineStr">
        <is>
          <t>Ref. Lf-110, Arm Chair</t>
        </is>
      </c>
      <c r="E687" s="2" t="inlineStr">
        <is>
          <t>No</t>
        </is>
      </c>
      <c r="F687" s="2" t="n">
        <v>0</v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2</v>
      </c>
      <c r="O687" s="2" t="n">
        <v>0</v>
      </c>
      <c r="P687" s="2" t="n">
        <v>0</v>
      </c>
      <c r="Q687" s="2" t="n">
        <v>2</v>
      </c>
      <c r="R687" s="2" t="n">
        <v>2</v>
      </c>
      <c r="S687" s="2" t="n"/>
      <c r="T687" s="2">
        <f>IF(OR(S687="",R687=0),"",ROUND(S687*R687,2))</f>
        <v/>
      </c>
      <c r="U687" s="2" t="inlineStr"/>
    </row>
    <row r="688">
      <c r="A688" s="2" t="inlineStr">
        <is>
          <t>M</t>
        </is>
      </c>
      <c r="B688" s="2" t="inlineStr">
        <is>
          <t>COLLECTION</t>
        </is>
      </c>
      <c r="C688" s="2" t="inlineStr">
        <is>
          <t>J</t>
        </is>
      </c>
      <c r="D688" s="2" t="inlineStr">
        <is>
          <t>Ref. GE-106, Axiom Series Chest Press</t>
        </is>
      </c>
      <c r="E688" s="2" t="inlineStr">
        <is>
          <t>No</t>
        </is>
      </c>
      <c r="F688" s="2" t="n">
        <v>0</v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1</v>
      </c>
      <c r="O688" s="2" t="n">
        <v>0</v>
      </c>
      <c r="P688" s="2" t="n">
        <v>0</v>
      </c>
      <c r="Q688" s="2" t="n">
        <v>1</v>
      </c>
      <c r="R688" s="2" t="n">
        <v>1</v>
      </c>
      <c r="S688" s="2" t="n"/>
      <c r="T688" s="2">
        <f>IF(OR(S688="",R688=0),"",ROUND(S688*R688,2))</f>
        <v/>
      </c>
      <c r="U688" s="2" t="inlineStr"/>
    </row>
    <row r="689">
      <c r="A689" s="2" t="inlineStr">
        <is>
          <t>M</t>
        </is>
      </c>
      <c r="B689" s="2" t="inlineStr">
        <is>
          <t>COLLECTION</t>
        </is>
      </c>
      <c r="C689" s="2" t="inlineStr">
        <is>
          <t>J</t>
        </is>
      </c>
      <c r="D689" s="2" t="inlineStr">
        <is>
          <t>Ref. Lf-111, Bench</t>
        </is>
      </c>
      <c r="E689" s="2" t="inlineStr">
        <is>
          <t>No</t>
        </is>
      </c>
      <c r="F689" s="2" t="n">
        <v>0</v>
      </c>
      <c r="G689" s="2" t="n">
        <v>0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2</v>
      </c>
      <c r="O689" s="2" t="n">
        <v>0</v>
      </c>
      <c r="P689" s="2" t="n">
        <v>0</v>
      </c>
      <c r="Q689" s="2" t="n">
        <v>2</v>
      </c>
      <c r="R689" s="2" t="n">
        <v>2</v>
      </c>
      <c r="S689" s="2" t="n"/>
      <c r="T689" s="2">
        <f>IF(OR(S689="",R689=0),"",ROUND(S689*R689,2))</f>
        <v/>
      </c>
      <c r="U689" s="2" t="inlineStr"/>
    </row>
    <row r="690">
      <c r="A690" s="2" t="inlineStr">
        <is>
          <t>M</t>
        </is>
      </c>
      <c r="B690" s="2" t="inlineStr">
        <is>
          <t>COLLECTION</t>
        </is>
      </c>
      <c r="C690" s="2" t="inlineStr">
        <is>
          <t>K</t>
        </is>
      </c>
      <c r="D690" s="2" t="inlineStr">
        <is>
          <t>Ref. GE-107, Axiom Series Shoul der Press</t>
        </is>
      </c>
      <c r="E690" s="2" t="inlineStr">
        <is>
          <t>No</t>
        </is>
      </c>
      <c r="F690" s="2" t="n">
        <v>0</v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1</v>
      </c>
      <c r="O690" s="2" t="n">
        <v>0</v>
      </c>
      <c r="P690" s="2" t="n">
        <v>0</v>
      </c>
      <c r="Q690" s="2" t="n">
        <v>1</v>
      </c>
      <c r="R690" s="2" t="n">
        <v>1</v>
      </c>
      <c r="S690" s="2" t="n"/>
      <c r="T690" s="2">
        <f>IF(OR(S690="",R690=0),"",ROUND(S690*R690,2))</f>
        <v/>
      </c>
      <c r="U690" s="2" t="inlineStr"/>
    </row>
    <row r="691">
      <c r="A691" s="2" t="inlineStr">
        <is>
          <t>M</t>
        </is>
      </c>
      <c r="B691" s="2" t="inlineStr">
        <is>
          <t>COLLECTION</t>
        </is>
      </c>
      <c r="C691" s="2" t="inlineStr">
        <is>
          <t>K</t>
        </is>
      </c>
      <c r="D691" s="2" t="inlineStr">
        <is>
          <t>Ref. Lf-112, Stool</t>
        </is>
      </c>
      <c r="E691" s="2" t="inlineStr">
        <is>
          <t>No</t>
        </is>
      </c>
      <c r="F691" s="2" t="n">
        <v>0</v>
      </c>
      <c r="G691" s="2" t="n">
        <v>0</v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4</v>
      </c>
      <c r="O691" s="2" t="n">
        <v>0</v>
      </c>
      <c r="P691" s="2" t="n">
        <v>0</v>
      </c>
      <c r="Q691" s="2" t="n">
        <v>4</v>
      </c>
      <c r="R691" s="2" t="n">
        <v>4</v>
      </c>
      <c r="S691" s="2" t="n"/>
      <c r="T691" s="2">
        <f>IF(OR(S691="",R691=0),"",ROUND(S691*R691,2))</f>
        <v/>
      </c>
      <c r="U691" s="2" t="inlineStr"/>
    </row>
    <row r="692">
      <c r="A692" s="2" t="inlineStr">
        <is>
          <t>M</t>
        </is>
      </c>
      <c r="B692" s="2" t="inlineStr">
        <is>
          <t>COLLECTION</t>
        </is>
      </c>
      <c r="C692" s="2" t="inlineStr">
        <is>
          <t>L</t>
        </is>
      </c>
      <c r="D692" s="2" t="inlineStr">
        <is>
          <t>Ref. GE-108, Axiom Series Pulldown/Row</t>
        </is>
      </c>
      <c r="E692" s="2" t="inlineStr">
        <is>
          <t>No</t>
        </is>
      </c>
      <c r="F692" s="2" t="n">
        <v>0</v>
      </c>
      <c r="G692" s="2" t="n">
        <v>0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1</v>
      </c>
      <c r="O692" s="2" t="n">
        <v>0</v>
      </c>
      <c r="P692" s="2" t="n">
        <v>0</v>
      </c>
      <c r="Q692" s="2" t="n">
        <v>1</v>
      </c>
      <c r="R692" s="2" t="n">
        <v>1</v>
      </c>
      <c r="S692" s="2" t="n"/>
      <c r="T692" s="2">
        <f>IF(OR(S692="",R692=0),"",ROUND(S692*R692,2))</f>
        <v/>
      </c>
      <c r="U692" s="2" t="inlineStr"/>
    </row>
    <row r="693">
      <c r="A693" s="2" t="inlineStr">
        <is>
          <t>M</t>
        </is>
      </c>
      <c r="B693" s="2" t="inlineStr">
        <is>
          <t>COLLECTION</t>
        </is>
      </c>
      <c r="C693" s="2" t="inlineStr">
        <is>
          <t>L</t>
        </is>
      </c>
      <c r="D693" s="2" t="inlineStr">
        <is>
          <t>Ref. Lf-114, Stool</t>
        </is>
      </c>
      <c r="E693" s="2" t="inlineStr">
        <is>
          <t>No</t>
        </is>
      </c>
      <c r="F693" s="2" t="n">
        <v>0</v>
      </c>
      <c r="G693" s="2" t="n">
        <v>0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2</v>
      </c>
      <c r="O693" s="2" t="n">
        <v>0</v>
      </c>
      <c r="P693" s="2" t="n">
        <v>0</v>
      </c>
      <c r="Q693" s="2" t="n">
        <v>2</v>
      </c>
      <c r="R693" s="2" t="n">
        <v>2</v>
      </c>
      <c r="S693" s="2" t="n"/>
      <c r="T693" s="2">
        <f>IF(OR(S693="",R693=0),"",ROUND(S693*R693,2))</f>
        <v/>
      </c>
      <c r="U693" s="2" t="inlineStr"/>
    </row>
    <row r="694">
      <c r="A694" s="2" t="inlineStr">
        <is>
          <t>M</t>
        </is>
      </c>
      <c r="B694" s="2" t="inlineStr">
        <is>
          <t>COLLECTION</t>
        </is>
      </c>
      <c r="C694" s="2" t="inlineStr">
        <is>
          <t>M</t>
        </is>
      </c>
      <c r="D694" s="2" t="inlineStr">
        <is>
          <t>Ref. GE-109, Gym Bal</t>
        </is>
      </c>
      <c r="E694" s="2" t="inlineStr">
        <is>
          <t>No</t>
        </is>
      </c>
      <c r="F694" s="2" t="n">
        <v>0</v>
      </c>
      <c r="G694" s="2" t="n">
        <v>0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2</v>
      </c>
      <c r="O694" s="2" t="n">
        <v>0</v>
      </c>
      <c r="P694" s="2" t="n">
        <v>0</v>
      </c>
      <c r="Q694" s="2" t="n">
        <v>2</v>
      </c>
      <c r="R694" s="2" t="n">
        <v>2</v>
      </c>
      <c r="S694" s="2" t="n"/>
      <c r="T694" s="2">
        <f>IF(OR(S694="",R694=0),"",ROUND(S694*R694,2))</f>
        <v/>
      </c>
      <c r="U694" s="2" t="inlineStr"/>
    </row>
    <row r="695">
      <c r="A695" s="2" t="inlineStr">
        <is>
          <t>M</t>
        </is>
      </c>
      <c r="B695" s="2" t="inlineStr">
        <is>
          <t>COLLECTION</t>
        </is>
      </c>
      <c r="C695" s="2" t="inlineStr">
        <is>
          <t>M</t>
        </is>
      </c>
      <c r="D695" s="2" t="inlineStr">
        <is>
          <t>Ref. Lf-115, Rug</t>
        </is>
      </c>
      <c r="E695" s="2" t="inlineStr">
        <is>
          <t>No</t>
        </is>
      </c>
      <c r="F695" s="2" t="n">
        <v>0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1</v>
      </c>
      <c r="O695" s="2" t="n">
        <v>0</v>
      </c>
      <c r="P695" s="2" t="n">
        <v>0</v>
      </c>
      <c r="Q695" s="2" t="n">
        <v>1</v>
      </c>
      <c r="R695" s="2" t="n">
        <v>1</v>
      </c>
      <c r="S695" s="2" t="n"/>
      <c r="T695" s="2">
        <f>IF(OR(S695="",R695=0),"",ROUND(S695*R695,2))</f>
        <v/>
      </c>
      <c r="U695" s="2" t="inlineStr"/>
    </row>
    <row r="696">
      <c r="A696" s="2" t="inlineStr">
        <is>
          <t>M</t>
        </is>
      </c>
      <c r="B696" s="2" t="inlineStr">
        <is>
          <t>COLLECTION</t>
        </is>
      </c>
      <c r="C696" s="2" t="inlineStr">
        <is>
          <t>N</t>
        </is>
      </c>
      <c r="D696" s="2" t="inlineStr">
        <is>
          <t>Ref. GE-110, Smith Machine</t>
        </is>
      </c>
      <c r="E696" s="2" t="inlineStr">
        <is>
          <t>No</t>
        </is>
      </c>
      <c r="F696" s="2" t="n">
        <v>0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1</v>
      </c>
      <c r="O696" s="2" t="n">
        <v>0</v>
      </c>
      <c r="P696" s="2" t="n">
        <v>0</v>
      </c>
      <c r="Q696" s="2" t="n">
        <v>1</v>
      </c>
      <c r="R696" s="2" t="n">
        <v>1</v>
      </c>
      <c r="S696" s="2" t="n"/>
      <c r="T696" s="2">
        <f>IF(OR(S696="",R696=0),"",ROUND(S696*R696,2))</f>
        <v/>
      </c>
      <c r="U696" s="2" t="inlineStr"/>
    </row>
    <row r="697">
      <c r="A697" s="2" t="inlineStr">
        <is>
          <t>M</t>
        </is>
      </c>
      <c r="B697" s="2" t="inlineStr">
        <is>
          <t>COLLECTION</t>
        </is>
      </c>
      <c r="C697" s="2" t="inlineStr">
        <is>
          <t>N</t>
        </is>
      </c>
      <c r="D697" s="2" t="inlineStr">
        <is>
          <t>Ref. Ax-107, Art Work @ Changing Room</t>
        </is>
      </c>
      <c r="E697" s="2" t="inlineStr">
        <is>
          <t>No</t>
        </is>
      </c>
      <c r="F697" s="2" t="n">
        <v>0</v>
      </c>
      <c r="G697" s="2" t="n">
        <v>0</v>
      </c>
      <c r="H697" s="2" t="n">
        <v>0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2</v>
      </c>
      <c r="O697" s="2" t="n">
        <v>0</v>
      </c>
      <c r="P697" s="2" t="n">
        <v>0</v>
      </c>
      <c r="Q697" s="2" t="n">
        <v>2</v>
      </c>
      <c r="R697" s="2" t="n">
        <v>2</v>
      </c>
      <c r="S697" s="2" t="n"/>
      <c r="T697" s="2">
        <f>IF(OR(S697="",R697=0),"",ROUND(S697*R697,2))</f>
        <v/>
      </c>
      <c r="U697" s="2" t="inlineStr"/>
    </row>
    <row r="698">
      <c r="A698" s="2" t="inlineStr">
        <is>
          <t>M</t>
        </is>
      </c>
      <c r="B698" s="2" t="inlineStr">
        <is>
          <t>COLLECTION</t>
        </is>
      </c>
      <c r="C698" s="2" t="inlineStr">
        <is>
          <t>P</t>
        </is>
      </c>
      <c r="D698" s="2" t="inlineStr">
        <is>
          <t>Ref. GE-111, Axiom Series Leg Extension</t>
        </is>
      </c>
      <c r="E698" s="2" t="inlineStr">
        <is>
          <t>No</t>
        </is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1</v>
      </c>
      <c r="O698" s="2" t="n">
        <v>0</v>
      </c>
      <c r="P698" s="2" t="n">
        <v>0</v>
      </c>
      <c r="Q698" s="2" t="n">
        <v>1</v>
      </c>
      <c r="R698" s="2" t="n">
        <v>1</v>
      </c>
      <c r="S698" s="2" t="n"/>
      <c r="T698" s="2">
        <f>IF(OR(S698="",R698=0),"",ROUND(S698*R698,2))</f>
        <v/>
      </c>
      <c r="U698" s="2" t="inlineStr"/>
    </row>
    <row r="699">
      <c r="A699" s="2" t="inlineStr">
        <is>
          <t>M</t>
        </is>
      </c>
      <c r="B699" s="2" t="inlineStr">
        <is>
          <t>COLLECTION</t>
        </is>
      </c>
      <c r="C699" s="2" t="inlineStr">
        <is>
          <t>P</t>
        </is>
      </c>
      <c r="D699" s="2" t="inlineStr">
        <is>
          <t>Ref. Ax-108, Art Work @ Changing Room</t>
        </is>
      </c>
      <c r="E699" s="2" t="inlineStr">
        <is>
          <t>No</t>
        </is>
      </c>
      <c r="F699" s="2" t="n">
        <v>0</v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  <c r="N699" s="2" t="n">
        <v>1</v>
      </c>
      <c r="O699" s="2" t="n">
        <v>0</v>
      </c>
      <c r="P699" s="2" t="n">
        <v>0</v>
      </c>
      <c r="Q699" s="2" t="n">
        <v>1</v>
      </c>
      <c r="R699" s="2" t="n">
        <v>1</v>
      </c>
      <c r="S699" s="2" t="n"/>
      <c r="T699" s="2">
        <f>IF(OR(S699="",R699=0),"",ROUND(S699*R699,2))</f>
        <v/>
      </c>
      <c r="U699" s="2" t="inlineStr"/>
    </row>
    <row r="700">
      <c r="A700" s="2" t="inlineStr">
        <is>
          <t>M</t>
        </is>
      </c>
      <c r="B700" s="2" t="inlineStr">
        <is>
          <t>COLLECTION</t>
        </is>
      </c>
      <c r="C700" s="2" t="inlineStr">
        <is>
          <t>Q</t>
        </is>
      </c>
      <c r="D700" s="2" t="inlineStr">
        <is>
          <t>Ref. GE-112, Heavy-Duty Two-Tier Dumbbell Rack</t>
        </is>
      </c>
      <c r="E700" s="2" t="inlineStr">
        <is>
          <t>No</t>
        </is>
      </c>
      <c r="F700" s="2" t="n">
        <v>0</v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0</v>
      </c>
      <c r="N700" s="2" t="n">
        <v>1</v>
      </c>
      <c r="O700" s="2" t="n">
        <v>0</v>
      </c>
      <c r="P700" s="2" t="n">
        <v>0</v>
      </c>
      <c r="Q700" s="2" t="n">
        <v>1</v>
      </c>
      <c r="R700" s="2" t="n">
        <v>1</v>
      </c>
      <c r="S700" s="2" t="n"/>
      <c r="T700" s="2">
        <f>IF(OR(S700="",R700=0),"",ROUND(S700*R700,2))</f>
        <v/>
      </c>
      <c r="U700" s="2" t="inlineStr"/>
    </row>
    <row r="701">
      <c r="A701" s="2" t="inlineStr">
        <is>
          <t>M</t>
        </is>
      </c>
      <c r="B701" s="2" t="inlineStr">
        <is>
          <t>COLLECTION</t>
        </is>
      </c>
      <c r="C701" s="2" t="inlineStr">
        <is>
          <t>Q</t>
        </is>
      </c>
      <c r="D701" s="2" t="inlineStr">
        <is>
          <t>Ref. Ax-109, Art Work @ Changing Room</t>
        </is>
      </c>
      <c r="E701" s="2" t="inlineStr">
        <is>
          <t>No</t>
        </is>
      </c>
      <c r="F701" s="2" t="n">
        <v>0</v>
      </c>
      <c r="G701" s="2" t="n">
        <v>0</v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1</v>
      </c>
      <c r="O701" s="2" t="n">
        <v>0</v>
      </c>
      <c r="P701" s="2" t="n">
        <v>0</v>
      </c>
      <c r="Q701" s="2" t="n">
        <v>1</v>
      </c>
      <c r="R701" s="2" t="n">
        <v>1</v>
      </c>
      <c r="S701" s="2" t="n"/>
      <c r="T701" s="2">
        <f>IF(OR(S701="",R701=0),"",ROUND(S701*R701,2))</f>
        <v/>
      </c>
      <c r="U701" s="2" t="inlineStr"/>
    </row>
    <row r="702">
      <c r="A702" s="2" t="inlineStr">
        <is>
          <t>M</t>
        </is>
      </c>
      <c r="B702" s="2" t="inlineStr">
        <is>
          <t>COLLECTION</t>
        </is>
      </c>
      <c r="C702" s="2" t="inlineStr">
        <is>
          <t>R</t>
        </is>
      </c>
      <c r="D702" s="2" t="inlineStr">
        <is>
          <t>Ref. GE-113, Multi-Adjustable Bench</t>
        </is>
      </c>
      <c r="E702" s="2" t="inlineStr">
        <is>
          <t>No</t>
        </is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3</v>
      </c>
      <c r="O702" s="2" t="n">
        <v>0</v>
      </c>
      <c r="P702" s="2" t="n">
        <v>0</v>
      </c>
      <c r="Q702" s="2" t="n">
        <v>3</v>
      </c>
      <c r="R702" s="2" t="n">
        <v>3</v>
      </c>
      <c r="S702" s="2" t="n"/>
      <c r="T702" s="2">
        <f>IF(OR(S702="",R702=0),"",ROUND(S702*R702,2))</f>
        <v/>
      </c>
      <c r="U702" s="2" t="inlineStr"/>
    </row>
    <row r="703">
      <c r="A703" s="2" t="inlineStr">
        <is>
          <t>M</t>
        </is>
      </c>
      <c r="B703" s="2" t="inlineStr">
        <is>
          <t>COLLECTION</t>
        </is>
      </c>
      <c r="C703" s="2" t="inlineStr">
        <is>
          <t>R</t>
        </is>
      </c>
      <c r="D703" s="2" t="inlineStr">
        <is>
          <t>Ref. Ax-110, Art Work @ Changing Room</t>
        </is>
      </c>
      <c r="E703" s="2" t="inlineStr">
        <is>
          <t>No</t>
        </is>
      </c>
      <c r="F703" s="2" t="n">
        <v>0</v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1</v>
      </c>
      <c r="O703" s="2" t="n">
        <v>0</v>
      </c>
      <c r="P703" s="2" t="n">
        <v>0</v>
      </c>
      <c r="Q703" s="2" t="n">
        <v>1</v>
      </c>
      <c r="R703" s="2" t="n">
        <v>1</v>
      </c>
      <c r="S703" s="2" t="n"/>
      <c r="T703" s="2">
        <f>IF(OR(S703="",R703=0),"",ROUND(S703*R703,2))</f>
        <v/>
      </c>
      <c r="U703" s="2" t="inlineStr"/>
    </row>
    <row r="704">
      <c r="A704" s="2" t="inlineStr">
        <is>
          <t>M</t>
        </is>
      </c>
      <c r="B704" s="2" t="inlineStr">
        <is>
          <t>COLLECTION</t>
        </is>
      </c>
      <c r="C704" s="2" t="inlineStr">
        <is>
          <t>S</t>
        </is>
      </c>
      <c r="D704" s="2" t="inlineStr">
        <is>
          <t>Ref. GE-114, Signature Adj. Decline Bench</t>
        </is>
      </c>
      <c r="E704" s="2" t="inlineStr">
        <is>
          <t>No</t>
        </is>
      </c>
      <c r="F704" s="2" t="n">
        <v>0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1</v>
      </c>
      <c r="O704" s="2" t="n">
        <v>0</v>
      </c>
      <c r="P704" s="2" t="n">
        <v>0</v>
      </c>
      <c r="Q704" s="2" t="n">
        <v>1</v>
      </c>
      <c r="R704" s="2" t="n">
        <v>1</v>
      </c>
      <c r="S704" s="2" t="n"/>
      <c r="T704" s="2">
        <f>IF(OR(S704="",R704=0),"",ROUND(S704*R704,2))</f>
        <v/>
      </c>
      <c r="U704" s="2" t="inlineStr"/>
    </row>
    <row r="705">
      <c r="A705" s="2" t="inlineStr">
        <is>
          <t>M</t>
        </is>
      </c>
      <c r="B705" s="2" t="inlineStr">
        <is>
          <t>COLLECTION</t>
        </is>
      </c>
      <c r="C705" s="2" t="inlineStr">
        <is>
          <t>S</t>
        </is>
      </c>
      <c r="D705" s="2" t="inlineStr">
        <is>
          <t>Ref. Ax-111, Art Work @ Changing Room</t>
        </is>
      </c>
      <c r="E705" s="2" t="inlineStr">
        <is>
          <t>No</t>
        </is>
      </c>
      <c r="F705" s="2" t="n">
        <v>0</v>
      </c>
      <c r="G705" s="2" t="n">
        <v>0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1</v>
      </c>
      <c r="O705" s="2" t="n">
        <v>0</v>
      </c>
      <c r="P705" s="2" t="n">
        <v>0</v>
      </c>
      <c r="Q705" s="2" t="n">
        <v>1</v>
      </c>
      <c r="R705" s="2" t="n">
        <v>1</v>
      </c>
      <c r="S705" s="2" t="n"/>
      <c r="T705" s="2">
        <f>IF(OR(S705="",R705=0),"",ROUND(S705*R705,2))</f>
        <v/>
      </c>
      <c r="U705" s="2" t="inlineStr"/>
    </row>
    <row r="706">
      <c r="A706" s="2" t="inlineStr">
        <is>
          <t>M</t>
        </is>
      </c>
      <c r="B706" s="2" t="inlineStr">
        <is>
          <t>COLLECTION</t>
        </is>
      </c>
      <c r="C706" s="2" t="inlineStr">
        <is>
          <t>T</t>
        </is>
      </c>
      <c r="D706" s="2" t="inlineStr">
        <is>
          <t>Ref. GE-115, Es cape Freestanding Punchbag</t>
        </is>
      </c>
      <c r="E706" s="2" t="inlineStr">
        <is>
          <t>No</t>
        </is>
      </c>
      <c r="F706" s="2" t="n">
        <v>0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1</v>
      </c>
      <c r="O706" s="2" t="n">
        <v>0</v>
      </c>
      <c r="P706" s="2" t="n">
        <v>0</v>
      </c>
      <c r="Q706" s="2" t="n">
        <v>1</v>
      </c>
      <c r="R706" s="2" t="n">
        <v>1</v>
      </c>
      <c r="S706" s="2" t="n"/>
      <c r="T706" s="2">
        <f>IF(OR(S706="",R706=0),"",ROUND(S706*R706,2))</f>
        <v/>
      </c>
      <c r="U706" s="2" t="inlineStr"/>
    </row>
    <row r="707">
      <c r="A707" s="2" t="inlineStr">
        <is>
          <t>M</t>
        </is>
      </c>
      <c r="B707" s="2" t="inlineStr">
        <is>
          <t>COLLECTION</t>
        </is>
      </c>
      <c r="C707" s="2" t="inlineStr">
        <is>
          <t>T</t>
        </is>
      </c>
      <c r="D707" s="2" t="inlineStr">
        <is>
          <t>Ref. Ax-112, Art Work @ Changing Room</t>
        </is>
      </c>
      <c r="E707" s="2" t="inlineStr">
        <is>
          <t>No</t>
        </is>
      </c>
      <c r="F707" s="2" t="n">
        <v>0</v>
      </c>
      <c r="G707" s="2" t="n">
        <v>0</v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1</v>
      </c>
      <c r="O707" s="2" t="n">
        <v>0</v>
      </c>
      <c r="P707" s="2" t="n">
        <v>0</v>
      </c>
      <c r="Q707" s="2" t="n">
        <v>1</v>
      </c>
      <c r="R707" s="2" t="n">
        <v>1</v>
      </c>
      <c r="S707" s="2" t="n"/>
      <c r="T707" s="2">
        <f>IF(OR(S707="",R707=0),"",ROUND(S707*R707,2))</f>
        <v/>
      </c>
      <c r="U707" s="2" t="inlineStr"/>
    </row>
    <row r="708">
      <c r="A708" s="2" t="inlineStr">
        <is>
          <t>M</t>
        </is>
      </c>
      <c r="B708" s="2" t="inlineStr">
        <is>
          <t>COLLECTION</t>
        </is>
      </c>
      <c r="C708" s="2" t="inlineStr">
        <is>
          <t>U</t>
        </is>
      </c>
      <c r="D708" s="2" t="inlineStr">
        <is>
          <t>Ref. GE-116, Es cape Yoga Mat</t>
        </is>
      </c>
      <c r="E708" s="2" t="inlineStr">
        <is>
          <t>No</t>
        </is>
      </c>
      <c r="F708" s="2" t="n">
        <v>0</v>
      </c>
      <c r="G708" s="2" t="n">
        <v>0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8</v>
      </c>
      <c r="O708" s="2" t="n">
        <v>0</v>
      </c>
      <c r="P708" s="2" t="n">
        <v>0</v>
      </c>
      <c r="Q708" s="2" t="n">
        <v>8</v>
      </c>
      <c r="R708" s="2" t="n">
        <v>8</v>
      </c>
      <c r="S708" s="2" t="n"/>
      <c r="T708" s="2">
        <f>IF(OR(S708="",R708=0),"",ROUND(S708*R708,2))</f>
        <v/>
      </c>
      <c r="U708" s="2" t="inlineStr"/>
    </row>
    <row r="709">
      <c r="A709" s="2" t="inlineStr">
        <is>
          <t>M</t>
        </is>
      </c>
      <c r="B709" s="2" t="inlineStr">
        <is>
          <t>COLLECTION</t>
        </is>
      </c>
      <c r="C709" s="2" t="inlineStr">
        <is>
          <t>U</t>
        </is>
      </c>
      <c r="D709" s="2" t="inlineStr">
        <is>
          <t>Ref. Ax-113, Art Work @ Changing Room</t>
        </is>
      </c>
      <c r="E709" s="2" t="inlineStr">
        <is>
          <t>No</t>
        </is>
      </c>
      <c r="F709" s="2" t="n">
        <v>0</v>
      </c>
      <c r="G709" s="2" t="n">
        <v>0</v>
      </c>
      <c r="H709" s="2" t="n">
        <v>0</v>
      </c>
      <c r="I709" s="2" t="n">
        <v>0</v>
      </c>
      <c r="J709" s="2" t="n">
        <v>0</v>
      </c>
      <c r="K709" s="2" t="n">
        <v>0</v>
      </c>
      <c r="L709" s="2" t="n">
        <v>0</v>
      </c>
      <c r="M709" s="2" t="n">
        <v>0</v>
      </c>
      <c r="N709" s="2" t="n">
        <v>1</v>
      </c>
      <c r="O709" s="2" t="n">
        <v>0</v>
      </c>
      <c r="P709" s="2" t="n">
        <v>0</v>
      </c>
      <c r="Q709" s="2" t="n">
        <v>1</v>
      </c>
      <c r="R709" s="2" t="n">
        <v>1</v>
      </c>
      <c r="S709" s="2" t="n"/>
      <c r="T709" s="2">
        <f>IF(OR(S709="",R709=0),"",ROUND(S709*R709,2))</f>
        <v/>
      </c>
      <c r="U709" s="2" t="inlineStr"/>
    </row>
    <row r="710">
      <c r="A710" s="2" t="inlineStr">
        <is>
          <t>M</t>
        </is>
      </c>
      <c r="B710" s="2" t="inlineStr">
        <is>
          <t>COLLECTION</t>
        </is>
      </c>
      <c r="C710" s="2" t="inlineStr">
        <is>
          <t>V</t>
        </is>
      </c>
      <c r="D710" s="2" t="inlineStr">
        <is>
          <t>Ref. Lf-106, Console Table</t>
        </is>
      </c>
      <c r="E710" s="2" t="inlineStr">
        <is>
          <t>No</t>
        </is>
      </c>
      <c r="F710" s="2" t="n">
        <v>0</v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2</v>
      </c>
      <c r="O710" s="2" t="n">
        <v>0</v>
      </c>
      <c r="P710" s="2" t="n">
        <v>0</v>
      </c>
      <c r="Q710" s="2" t="n">
        <v>2</v>
      </c>
      <c r="R710" s="2" t="n">
        <v>2</v>
      </c>
      <c r="S710" s="2" t="n"/>
      <c r="T710" s="2">
        <f>IF(OR(S710="",R710=0),"",ROUND(S710*R710,2))</f>
        <v/>
      </c>
      <c r="U710" s="2" t="inlineStr"/>
    </row>
    <row r="711">
      <c r="A711" s="2" t="inlineStr">
        <is>
          <t>M</t>
        </is>
      </c>
      <c r="B711" s="2" t="inlineStr">
        <is>
          <t>COLLECTION</t>
        </is>
      </c>
      <c r="C711" s="2" t="inlineStr">
        <is>
          <t>W</t>
        </is>
      </c>
      <c r="D711" s="2" t="inlineStr">
        <is>
          <t>Ref. Lf-107, Shower Bench</t>
        </is>
      </c>
      <c r="E711" s="2" t="inlineStr">
        <is>
          <t>No</t>
        </is>
      </c>
      <c r="F711" s="2" t="n">
        <v>0</v>
      </c>
      <c r="G711" s="2" t="n">
        <v>0</v>
      </c>
      <c r="H711" s="2" t="n">
        <v>0</v>
      </c>
      <c r="I711" s="2" t="n">
        <v>0</v>
      </c>
      <c r="J711" s="2" t="n">
        <v>0</v>
      </c>
      <c r="K711" s="2" t="n">
        <v>0</v>
      </c>
      <c r="L711" s="2" t="n">
        <v>0</v>
      </c>
      <c r="M711" s="2" t="n">
        <v>0</v>
      </c>
      <c r="N711" s="2" t="n">
        <v>6</v>
      </c>
      <c r="O711" s="2" t="n">
        <v>0</v>
      </c>
      <c r="P711" s="2" t="n">
        <v>0</v>
      </c>
      <c r="Q711" s="2" t="n">
        <v>6</v>
      </c>
      <c r="R711" s="2" t="n">
        <v>6</v>
      </c>
      <c r="S711" s="2" t="n"/>
      <c r="T711" s="2">
        <f>IF(OR(S711="",R711=0),"",ROUND(S711*R711,2))</f>
        <v/>
      </c>
      <c r="U711" s="2" t="inlineStr"/>
    </row>
    <row r="712">
      <c r="A712" s="2" t="inlineStr">
        <is>
          <t>M</t>
        </is>
      </c>
      <c r="B712" s="2" t="inlineStr">
        <is>
          <t>COLLECTION</t>
        </is>
      </c>
      <c r="C712" s="2" t="inlineStr">
        <is>
          <t>Y</t>
        </is>
      </c>
      <c r="D712" s="2" t="inlineStr">
        <is>
          <t>Ref.AX-114,ART WORK @ GYM</t>
        </is>
      </c>
      <c r="E712" s="2" t="inlineStr">
        <is>
          <t>No</t>
        </is>
      </c>
      <c r="F712" s="2" t="n">
        <v>0</v>
      </c>
      <c r="G712" s="2" t="n">
        <v>0</v>
      </c>
      <c r="H712" s="2" t="n">
        <v>0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1</v>
      </c>
      <c r="O712" s="2" t="n">
        <v>0</v>
      </c>
      <c r="P712" s="2" t="n">
        <v>0</v>
      </c>
      <c r="Q712" s="2" t="n">
        <v>1</v>
      </c>
      <c r="R712" s="2" t="n">
        <v>1</v>
      </c>
      <c r="S712" s="2" t="n"/>
      <c r="T712" s="2">
        <f>IF(OR(S712="",R712=0),"",ROUND(S712*R712,2))</f>
        <v/>
      </c>
      <c r="U712" s="2" t="inlineStr"/>
    </row>
    <row r="713">
      <c r="A713" s="2" t="inlineStr">
        <is>
          <t>M</t>
        </is>
      </c>
      <c r="B713" s="2" t="inlineStr">
        <is>
          <t>COLLECTION</t>
        </is>
      </c>
      <c r="C713" s="2" t="inlineStr">
        <is>
          <t>Z</t>
        </is>
      </c>
      <c r="D713" s="2" t="inlineStr">
        <is>
          <t>Ref.AX-115,ART WORK @ GYM</t>
        </is>
      </c>
      <c r="E713" s="2" t="inlineStr">
        <is>
          <t>No</t>
        </is>
      </c>
      <c r="F713" s="2" t="n">
        <v>0</v>
      </c>
      <c r="G713" s="2" t="n">
        <v>0</v>
      </c>
      <c r="H713" s="2" t="n">
        <v>0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1</v>
      </c>
      <c r="O713" s="2" t="n">
        <v>0</v>
      </c>
      <c r="P713" s="2" t="n">
        <v>0</v>
      </c>
      <c r="Q713" s="2" t="n">
        <v>1</v>
      </c>
      <c r="R713" s="2" t="n">
        <v>1</v>
      </c>
      <c r="S713" s="2" t="n"/>
      <c r="T713" s="2">
        <f>IF(OR(S713="",R713=0),"",ROUND(S713*R713,2))</f>
        <v/>
      </c>
      <c r="U713" s="2" t="inlineStr"/>
    </row>
    <row r="714">
      <c r="A714" s="2" t="inlineStr">
        <is>
          <t>P</t>
        </is>
      </c>
      <c r="B714" s="2" t="inlineStr">
        <is>
          <t>LIFTS  / CONVEYING SYSTEM</t>
        </is>
      </c>
      <c r="C714" s="2" t="inlineStr">
        <is>
          <t>A</t>
        </is>
      </c>
      <c r="D714" s="2" t="inlineStr">
        <is>
          <t>Residential Lift - 630kg (8 Persons) capacity, 1.0m/sec speed; 3 stops (GF, L1, L2),  Car finishes (Floor, Wall &amp; Ceiling included in Section J)</t>
        </is>
      </c>
      <c r="E714" s="2" t="inlineStr">
        <is>
          <t>No</t>
        </is>
      </c>
      <c r="F714" s="2" t="n">
        <v>0</v>
      </c>
      <c r="G714" s="2" t="n">
        <v>0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1</v>
      </c>
      <c r="M714" s="2" t="n">
        <v>1</v>
      </c>
      <c r="N714" s="2" t="n">
        <v>0</v>
      </c>
      <c r="O714" s="2" t="n">
        <v>0</v>
      </c>
      <c r="P714" s="2" t="n">
        <v>0</v>
      </c>
      <c r="Q714" s="2" t="n">
        <v>2</v>
      </c>
      <c r="R714" s="2" t="n">
        <v>37</v>
      </c>
      <c r="S714" s="2" t="n"/>
      <c r="T714" s="2">
        <f>IF(OR(S714="",R714=0),"",ROUND(S714*R714,2))</f>
        <v/>
      </c>
      <c r="U714" s="2" t="inlineStr"/>
    </row>
    <row r="715">
      <c r="A715" s="2" t="inlineStr">
        <is>
          <t>Q</t>
        </is>
      </c>
      <c r="B715" s="2" t="inlineStr">
        <is>
          <t>BUILDING MANAGEMENT SYSTEM</t>
        </is>
      </c>
      <c r="C715" s="2" t="inlineStr">
        <is>
          <t>A</t>
        </is>
      </c>
      <c r="D715" s="2" t="inlineStr">
        <is>
          <t>BMS software and operating system</t>
        </is>
      </c>
      <c r="E715" s="2" t="inlineStr">
        <is>
          <t>Item</t>
        </is>
      </c>
      <c r="F715" s="2" t="n">
        <v>0</v>
      </c>
      <c r="G715" s="2" t="n">
        <v>0</v>
      </c>
      <c r="H715" s="2" t="n">
        <v>0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1</v>
      </c>
      <c r="O715" s="2" t="n">
        <v>0</v>
      </c>
      <c r="P715" s="2" t="n">
        <v>0</v>
      </c>
      <c r="Q715" s="2" t="n">
        <v>1</v>
      </c>
      <c r="R715" s="2" t="n">
        <v>1</v>
      </c>
      <c r="S715" s="2" t="n"/>
      <c r="T715" s="2">
        <f>IF(OR(S715="",R715=0),"",ROUND(S715*R715,2))</f>
        <v/>
      </c>
      <c r="U715" s="2" t="inlineStr"/>
    </row>
    <row r="716">
      <c r="A716" s="2" t="inlineStr">
        <is>
          <t>Q</t>
        </is>
      </c>
      <c r="B716" s="2" t="inlineStr">
        <is>
          <t>BUILDING MANAGEMENT SYSTEM</t>
        </is>
      </c>
      <c r="C716" s="2" t="inlineStr">
        <is>
          <t>B</t>
        </is>
      </c>
      <c r="D716" s="2" t="inlineStr">
        <is>
          <t>Local Area Network with all the passive and active components like fiber and copper cables, patch Panels and Ethernet switches as well as the interface with the main data network</t>
        </is>
      </c>
      <c r="E716" s="2" t="inlineStr">
        <is>
          <t>Item</t>
        </is>
      </c>
      <c r="F716" s="2" t="n">
        <v>0</v>
      </c>
      <c r="G716" s="2" t="n">
        <v>0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1</v>
      </c>
      <c r="O716" s="2" t="n">
        <v>0</v>
      </c>
      <c r="P716" s="2" t="n">
        <v>0</v>
      </c>
      <c r="Q716" s="2" t="n">
        <v>1</v>
      </c>
      <c r="R716" s="2" t="n">
        <v>1</v>
      </c>
      <c r="S716" s="2" t="n"/>
      <c r="T716" s="2">
        <f>IF(OR(S716="",R716=0),"",ROUND(S716*R716,2))</f>
        <v/>
      </c>
      <c r="U716" s="2" t="inlineStr"/>
    </row>
    <row r="717">
      <c r="A717" s="2" t="inlineStr">
        <is>
          <t>Q</t>
        </is>
      </c>
      <c r="B717" s="2" t="inlineStr">
        <is>
          <t>BUILDING MANAGEMENT SYSTEM</t>
        </is>
      </c>
      <c r="C717" s="2" t="inlineStr">
        <is>
          <t>C</t>
        </is>
      </c>
      <c r="D717" s="2" t="inlineStr">
        <is>
          <t>Operator work stations and terminals including printers</t>
        </is>
      </c>
      <c r="E717" s="2" t="inlineStr">
        <is>
          <t>Item</t>
        </is>
      </c>
      <c r="F717" s="2" t="n">
        <v>0</v>
      </c>
      <c r="G717" s="2" t="n">
        <v>0</v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1</v>
      </c>
      <c r="O717" s="2" t="n">
        <v>0</v>
      </c>
      <c r="P717" s="2" t="n">
        <v>0</v>
      </c>
      <c r="Q717" s="2" t="n">
        <v>1</v>
      </c>
      <c r="R717" s="2" t="n">
        <v>1</v>
      </c>
      <c r="S717" s="2" t="n"/>
      <c r="T717" s="2">
        <f>IF(OR(S717="",R717=0),"",ROUND(S717*R717,2))</f>
        <v/>
      </c>
      <c r="U717" s="2" t="inlineStr"/>
    </row>
    <row r="718">
      <c r="A718" s="2" t="inlineStr">
        <is>
          <t>Q</t>
        </is>
      </c>
      <c r="B718" s="2" t="inlineStr">
        <is>
          <t>BUILDING MANAGEMENT SYSTEM</t>
        </is>
      </c>
      <c r="C718" s="2" t="inlineStr">
        <is>
          <t>D</t>
        </is>
      </c>
      <c r="D718" s="2" t="inlineStr">
        <is>
          <t>BACnet controllers including enclosures and Panels</t>
        </is>
      </c>
      <c r="E718" s="2" t="inlineStr">
        <is>
          <t>Item</t>
        </is>
      </c>
      <c r="F718" s="2" t="n">
        <v>0</v>
      </c>
      <c r="G718" s="2" t="n">
        <v>0</v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1</v>
      </c>
      <c r="O718" s="2" t="n">
        <v>0</v>
      </c>
      <c r="P718" s="2" t="n">
        <v>0</v>
      </c>
      <c r="Q718" s="2" t="n">
        <v>1</v>
      </c>
      <c r="R718" s="2" t="n">
        <v>1</v>
      </c>
      <c r="S718" s="2" t="n"/>
      <c r="T718" s="2">
        <f>IF(OR(S718="",R718=0),"",ROUND(S718*R718,2))</f>
        <v/>
      </c>
      <c r="U718" s="2" t="inlineStr"/>
    </row>
    <row r="719">
      <c r="A719" s="2" t="inlineStr">
        <is>
          <t>Q</t>
        </is>
      </c>
      <c r="B719" s="2" t="inlineStr">
        <is>
          <t>BUILDING MANAGEMENT SYSTEM</t>
        </is>
      </c>
      <c r="C719" s="2" t="inlineStr">
        <is>
          <t>E</t>
        </is>
      </c>
      <c r="D719" s="2" t="inlineStr">
        <is>
          <t>Gateways and routers</t>
        </is>
      </c>
      <c r="E719" s="2" t="inlineStr">
        <is>
          <t>Item</t>
        </is>
      </c>
      <c r="F719" s="2" t="n">
        <v>0</v>
      </c>
      <c r="G719" s="2" t="n">
        <v>0</v>
      </c>
      <c r="H719" s="2" t="n">
        <v>0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1</v>
      </c>
      <c r="O719" s="2" t="n">
        <v>0</v>
      </c>
      <c r="P719" s="2" t="n">
        <v>0</v>
      </c>
      <c r="Q719" s="2" t="n">
        <v>1</v>
      </c>
      <c r="R719" s="2" t="n">
        <v>1</v>
      </c>
      <c r="S719" s="2" t="n"/>
      <c r="T719" s="2">
        <f>IF(OR(S719="",R719=0),"",ROUND(S719*R719,2))</f>
        <v/>
      </c>
      <c r="U719" s="2" t="inlineStr"/>
    </row>
    <row r="720">
      <c r="A720" s="2" t="inlineStr">
        <is>
          <t>Q</t>
        </is>
      </c>
      <c r="B720" s="2" t="inlineStr">
        <is>
          <t>BUILDING MANAGEMENT SYSTEM</t>
        </is>
      </c>
      <c r="C720" s="2" t="inlineStr">
        <is>
          <t>F</t>
        </is>
      </c>
      <c r="D720" s="2" t="inlineStr">
        <is>
          <t>Specified BACnet controllers</t>
        </is>
      </c>
      <c r="E720" s="2" t="inlineStr">
        <is>
          <t>Item</t>
        </is>
      </c>
      <c r="F720" s="2" t="n">
        <v>0</v>
      </c>
      <c r="G720" s="2" t="n">
        <v>0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1</v>
      </c>
      <c r="O720" s="2" t="n">
        <v>0</v>
      </c>
      <c r="P720" s="2" t="n">
        <v>0</v>
      </c>
      <c r="Q720" s="2" t="n">
        <v>1</v>
      </c>
      <c r="R720" s="2" t="n">
        <v>1</v>
      </c>
      <c r="S720" s="2" t="n"/>
      <c r="T720" s="2">
        <f>IF(OR(S720="",R720=0),"",ROUND(S720*R720,2))</f>
        <v/>
      </c>
      <c r="U720" s="2" t="inlineStr"/>
    </row>
    <row r="721">
      <c r="A721" s="2" t="inlineStr">
        <is>
          <t>Q</t>
        </is>
      </c>
      <c r="B721" s="2" t="inlineStr">
        <is>
          <t>BUILDING MANAGEMENT SYSTEM</t>
        </is>
      </c>
      <c r="C721" s="2" t="inlineStr">
        <is>
          <t>G</t>
        </is>
      </c>
      <c r="D721" s="2" t="inlineStr">
        <is>
          <t>Field devices such as control valves, flow meters, actuators, switches, relays, detectors, and sensors</t>
        </is>
      </c>
      <c r="E721" s="2" t="inlineStr">
        <is>
          <t>Item</t>
        </is>
      </c>
      <c r="F721" s="2" t="n">
        <v>0</v>
      </c>
      <c r="G721" s="2" t="n">
        <v>0</v>
      </c>
      <c r="H721" s="2" t="n">
        <v>0</v>
      </c>
      <c r="I721" s="2" t="n">
        <v>0</v>
      </c>
      <c r="J721" s="2" t="n">
        <v>0</v>
      </c>
      <c r="K721" s="2" t="n">
        <v>0</v>
      </c>
      <c r="L721" s="2" t="n">
        <v>0</v>
      </c>
      <c r="M721" s="2" t="n">
        <v>0</v>
      </c>
      <c r="N721" s="2" t="n">
        <v>1</v>
      </c>
      <c r="O721" s="2" t="n">
        <v>0</v>
      </c>
      <c r="P721" s="2" t="n">
        <v>0</v>
      </c>
      <c r="Q721" s="2" t="n">
        <v>1</v>
      </c>
      <c r="R721" s="2" t="n">
        <v>1</v>
      </c>
      <c r="S721" s="2" t="n"/>
      <c r="T721" s="2">
        <f>IF(OR(S721="",R721=0),"",ROUND(S721*R721,2))</f>
        <v/>
      </c>
      <c r="U721" s="2" t="inlineStr"/>
    </row>
    <row r="722">
      <c r="A722" s="2" t="inlineStr">
        <is>
          <t>Q</t>
        </is>
      </c>
      <c r="B722" s="2" t="inlineStr">
        <is>
          <t>BUILDING MANAGEMENT SYSTEM</t>
        </is>
      </c>
      <c r="C722" s="2" t="inlineStr">
        <is>
          <t>H</t>
        </is>
      </c>
      <c r="D722" s="2" t="inlineStr">
        <is>
          <t>Cables for control, instrumentation and special communication</t>
        </is>
      </c>
      <c r="E722" s="2" t="inlineStr">
        <is>
          <t>Item</t>
        </is>
      </c>
      <c r="F722" s="2" t="n">
        <v>0</v>
      </c>
      <c r="G722" s="2" t="n">
        <v>0</v>
      </c>
      <c r="H722" s="2" t="n">
        <v>0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1</v>
      </c>
      <c r="O722" s="2" t="n">
        <v>0</v>
      </c>
      <c r="P722" s="2" t="n">
        <v>0</v>
      </c>
      <c r="Q722" s="2" t="n">
        <v>1</v>
      </c>
      <c r="R722" s="2" t="n">
        <v>1</v>
      </c>
      <c r="S722" s="2" t="n"/>
      <c r="T722" s="2">
        <f>IF(OR(S722="",R722=0),"",ROUND(S722*R722,2))</f>
        <v/>
      </c>
      <c r="U722" s="2" t="inlineStr"/>
    </row>
    <row r="723">
      <c r="A723" s="2" t="inlineStr">
        <is>
          <t>Q</t>
        </is>
      </c>
      <c r="B723" s="2" t="inlineStr">
        <is>
          <t>BUILDING MANAGEMENT SYSTEM</t>
        </is>
      </c>
      <c r="C723" s="2" t="inlineStr">
        <is>
          <t>J</t>
        </is>
      </c>
      <c r="D723" s="2" t="inlineStr">
        <is>
          <t>Interfacing with other ELV systems</t>
        </is>
      </c>
      <c r="E723" s="2" t="inlineStr">
        <is>
          <t>Item</t>
        </is>
      </c>
      <c r="F723" s="2" t="n">
        <v>0</v>
      </c>
      <c r="G723" s="2" t="n">
        <v>0</v>
      </c>
      <c r="H723" s="2" t="n">
        <v>0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1</v>
      </c>
      <c r="O723" s="2" t="n">
        <v>0</v>
      </c>
      <c r="P723" s="2" t="n">
        <v>0</v>
      </c>
      <c r="Q723" s="2" t="n">
        <v>1</v>
      </c>
      <c r="R723" s="2" t="n">
        <v>1</v>
      </c>
      <c r="S723" s="2" t="n"/>
      <c r="T723" s="2">
        <f>IF(OR(S723="",R723=0),"",ROUND(S723*R723,2))</f>
        <v/>
      </c>
      <c r="U723" s="2" t="inlineStr"/>
    </row>
    <row r="724">
      <c r="A724" s="2" t="inlineStr">
        <is>
          <t>Q</t>
        </is>
      </c>
      <c r="B724" s="2" t="inlineStr">
        <is>
          <t>BUILDING MANAGEMENT SYSTEM</t>
        </is>
      </c>
      <c r="C724" s="2" t="inlineStr">
        <is>
          <t>K</t>
        </is>
      </c>
      <c r="D724" s="2" t="inlineStr">
        <is>
          <t>Training of Employer's Staff</t>
        </is>
      </c>
      <c r="E724" s="2" t="inlineStr">
        <is>
          <t>Item</t>
        </is>
      </c>
      <c r="F724" s="2" t="n">
        <v>0</v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1</v>
      </c>
      <c r="O724" s="2" t="n">
        <v>0</v>
      </c>
      <c r="P724" s="2" t="n">
        <v>0</v>
      </c>
      <c r="Q724" s="2" t="n">
        <v>1</v>
      </c>
      <c r="R724" s="2" t="n">
        <v>1</v>
      </c>
      <c r="S724" s="2" t="n"/>
      <c r="T724" s="2">
        <f>IF(OR(S724="",R724=0),"",ROUND(S724*R724,2))</f>
        <v/>
      </c>
      <c r="U724" s="2" t="inlineStr"/>
    </row>
    <row r="725">
      <c r="A725" s="2" t="inlineStr">
        <is>
          <t>Q</t>
        </is>
      </c>
      <c r="B725" s="2" t="inlineStr">
        <is>
          <t>DOMESTIC COLD AND HOT WATER SYSTEM</t>
        </is>
      </c>
      <c r="C725" s="2" t="inlineStr">
        <is>
          <t>A</t>
        </is>
      </c>
      <c r="D725" s="2" t="inlineStr">
        <is>
          <t>20mm diameter</t>
        </is>
      </c>
      <c r="E725" s="2" t="inlineStr">
        <is>
          <t>m</t>
        </is>
      </c>
      <c r="F725" s="2" t="n">
        <v>57</v>
      </c>
      <c r="G725" s="2" t="n">
        <v>57</v>
      </c>
      <c r="H725" s="2" t="n">
        <v>74</v>
      </c>
      <c r="I725" s="2" t="n">
        <v>74</v>
      </c>
      <c r="J725" s="2" t="n">
        <v>91</v>
      </c>
      <c r="K725" s="2" t="n">
        <v>91</v>
      </c>
      <c r="L725" s="2" t="n">
        <v>19</v>
      </c>
      <c r="M725" s="2" t="n">
        <v>19</v>
      </c>
      <c r="N725" s="2" t="n">
        <v>15</v>
      </c>
      <c r="O725" s="2" t="n">
        <v>0</v>
      </c>
      <c r="P725" s="2" t="n">
        <v>0</v>
      </c>
      <c r="Q725" s="2" t="n">
        <v>497</v>
      </c>
      <c r="R725" s="2" t="n">
        <v>7169</v>
      </c>
      <c r="S725" s="2" t="n"/>
      <c r="T725" s="2">
        <f>IF(OR(S725="",R725=0),"",ROUND(S725*R725,2))</f>
        <v/>
      </c>
      <c r="U725" s="2" t="inlineStr"/>
    </row>
    <row r="726">
      <c r="A726" s="2" t="inlineStr">
        <is>
          <t>Q</t>
        </is>
      </c>
      <c r="B726" s="2" t="inlineStr">
        <is>
          <t>DOMESTIC COLD AND HOT WATER SYSTEM</t>
        </is>
      </c>
      <c r="C726" s="2" t="inlineStr">
        <is>
          <t>A</t>
        </is>
      </c>
      <c r="D726" s="2" t="inlineStr">
        <is>
          <t>For 20mm diameter pipe</t>
        </is>
      </c>
      <c r="E726" s="2" t="inlineStr">
        <is>
          <t>m</t>
        </is>
      </c>
      <c r="F726" s="2" t="n">
        <v>18</v>
      </c>
      <c r="G726" s="2" t="n">
        <v>18</v>
      </c>
      <c r="H726" s="2" t="n">
        <v>30</v>
      </c>
      <c r="I726" s="2" t="n">
        <v>30</v>
      </c>
      <c r="J726" s="2" t="n">
        <v>42</v>
      </c>
      <c r="K726" s="2" t="n">
        <v>42</v>
      </c>
      <c r="L726" s="2" t="n">
        <v>6</v>
      </c>
      <c r="M726" s="2" t="n">
        <v>6</v>
      </c>
      <c r="N726" s="2" t="n">
        <v>10</v>
      </c>
      <c r="O726" s="2" t="n">
        <v>0</v>
      </c>
      <c r="P726" s="2" t="n">
        <v>0</v>
      </c>
      <c r="Q726" s="2" t="n">
        <v>202</v>
      </c>
      <c r="R726" s="2" t="n">
        <v>2740</v>
      </c>
      <c r="S726" s="2" t="n"/>
      <c r="T726" s="2">
        <f>IF(OR(S726="",R726=0),"",ROUND(S726*R726,2))</f>
        <v/>
      </c>
      <c r="U726" s="2" t="inlineStr"/>
    </row>
    <row r="727">
      <c r="A727" s="2" t="inlineStr">
        <is>
          <t>Q</t>
        </is>
      </c>
      <c r="B727" s="2" t="inlineStr">
        <is>
          <t>DOMESTIC COLD AND HOT WATER SYSTEM</t>
        </is>
      </c>
      <c r="C727" s="2" t="inlineStr">
        <is>
          <t>A</t>
        </is>
      </c>
      <c r="D727" s="2" t="inlineStr">
        <is>
          <t>CWSBP, 0.5 L/s @ 19m Head (1D)</t>
        </is>
      </c>
      <c r="E727" s="2" t="inlineStr">
        <is>
          <t>Set</t>
        </is>
      </c>
      <c r="F727" s="2" t="n">
        <v>0</v>
      </c>
      <c r="G727" s="2" t="n">
        <v>0</v>
      </c>
      <c r="H727" s="2" t="n">
        <v>0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0</v>
      </c>
      <c r="N727" s="2" t="n">
        <v>0</v>
      </c>
      <c r="O727" s="2" t="n">
        <v>1</v>
      </c>
      <c r="P727" s="2" t="n">
        <v>0</v>
      </c>
      <c r="Q727" s="2" t="n">
        <v>1</v>
      </c>
      <c r="R727" s="2" t="n">
        <v>1</v>
      </c>
      <c r="S727" s="2" t="n"/>
      <c r="T727" s="2">
        <f>IF(OR(S727="",R727=0),"",ROUND(S727*R727,2))</f>
        <v/>
      </c>
      <c r="U727" s="2" t="inlineStr"/>
    </row>
    <row r="728">
      <c r="A728" s="2" t="inlineStr">
        <is>
          <t>Q</t>
        </is>
      </c>
      <c r="B728" s="2" t="inlineStr">
        <is>
          <t>DOMESTIC COLD AND HOT WATER SYSTEM</t>
        </is>
      </c>
      <c r="C728" s="2" t="inlineStr">
        <is>
          <t>B</t>
        </is>
      </c>
      <c r="D728" s="2" t="inlineStr">
        <is>
          <t>25mm diameter</t>
        </is>
      </c>
      <c r="E728" s="2" t="inlineStr">
        <is>
          <t>m</t>
        </is>
      </c>
      <c r="F728" s="2" t="n">
        <v>27</v>
      </c>
      <c r="G728" s="2" t="n">
        <v>27</v>
      </c>
      <c r="H728" s="2" t="n">
        <v>34</v>
      </c>
      <c r="I728" s="2" t="n">
        <v>34</v>
      </c>
      <c r="J728" s="2" t="n">
        <v>42</v>
      </c>
      <c r="K728" s="2" t="n">
        <v>42</v>
      </c>
      <c r="L728" s="2" t="n">
        <v>8</v>
      </c>
      <c r="M728" s="2" t="n">
        <v>8</v>
      </c>
      <c r="N728" s="2" t="n">
        <v>40</v>
      </c>
      <c r="O728" s="2" t="n">
        <v>0</v>
      </c>
      <c r="P728" s="2" t="n">
        <v>0</v>
      </c>
      <c r="Q728" s="2" t="n">
        <v>262</v>
      </c>
      <c r="R728" s="2" t="n">
        <v>3333</v>
      </c>
      <c r="S728" s="2" t="n"/>
      <c r="T728" s="2">
        <f>IF(OR(S728="",R728=0),"",ROUND(S728*R728,2))</f>
        <v/>
      </c>
      <c r="U728" s="2" t="inlineStr"/>
    </row>
    <row r="729">
      <c r="A729" s="2" t="inlineStr">
        <is>
          <t>Q</t>
        </is>
      </c>
      <c r="B729" s="2" t="inlineStr">
        <is>
          <t>DOMESTIC COLD AND HOT WATER SYSTEM</t>
        </is>
      </c>
      <c r="C729" s="2" t="inlineStr">
        <is>
          <t>B</t>
        </is>
      </c>
      <c r="D729" s="2" t="inlineStr">
        <is>
          <t>For 25mm diameter pipe</t>
        </is>
      </c>
      <c r="E729" s="2" t="inlineStr">
        <is>
          <t>m</t>
        </is>
      </c>
      <c r="F729" s="2" t="n">
        <v>37</v>
      </c>
      <c r="G729" s="2" t="n">
        <v>37</v>
      </c>
      <c r="H729" s="2" t="n">
        <v>53</v>
      </c>
      <c r="I729" s="2" t="n">
        <v>53</v>
      </c>
      <c r="J729" s="2" t="n">
        <v>69</v>
      </c>
      <c r="K729" s="2" t="n">
        <v>69</v>
      </c>
      <c r="L729" s="2" t="n">
        <v>3</v>
      </c>
      <c r="M729" s="2" t="n">
        <v>3</v>
      </c>
      <c r="N729" s="2" t="n">
        <v>15</v>
      </c>
      <c r="O729" s="2" t="n">
        <v>0</v>
      </c>
      <c r="P729" s="2" t="n">
        <v>0</v>
      </c>
      <c r="Q729" s="2" t="n">
        <v>339</v>
      </c>
      <c r="R729" s="2" t="n">
        <v>4666</v>
      </c>
      <c r="S729" s="2" t="n"/>
      <c r="T729" s="2">
        <f>IF(OR(S729="",R729=0),"",ROUND(S729*R729,2))</f>
        <v/>
      </c>
      <c r="U729" s="2" t="inlineStr"/>
    </row>
    <row r="730">
      <c r="A730" s="2" t="inlineStr">
        <is>
          <t>Q</t>
        </is>
      </c>
      <c r="B730" s="2" t="inlineStr">
        <is>
          <t>DOMESTIC COLD AND HOT WATER SYSTEM</t>
        </is>
      </c>
      <c r="C730" s="2" t="inlineStr">
        <is>
          <t>B</t>
        </is>
      </c>
      <c r="D730" s="2" t="inlineStr">
        <is>
          <t>CWSBP, 1.0 L/s @ 30m Head (1D)</t>
        </is>
      </c>
      <c r="E730" s="2" t="inlineStr">
        <is>
          <t>Set</t>
        </is>
      </c>
      <c r="F730" s="2" t="n">
        <v>4</v>
      </c>
      <c r="G730" s="2" t="n">
        <v>4</v>
      </c>
      <c r="H730" s="2" t="n">
        <v>6</v>
      </c>
      <c r="I730" s="2" t="n">
        <v>6</v>
      </c>
      <c r="J730" s="2" t="n">
        <v>8</v>
      </c>
      <c r="K730" s="2" t="n">
        <v>8</v>
      </c>
      <c r="L730" s="2" t="n">
        <v>0</v>
      </c>
      <c r="M730" s="2" t="n">
        <v>0</v>
      </c>
      <c r="N730" s="2" t="n">
        <v>0</v>
      </c>
      <c r="O730" s="2" t="n">
        <v>0</v>
      </c>
      <c r="P730" s="2" t="n">
        <v>0</v>
      </c>
      <c r="Q730" s="2" t="n">
        <v>36</v>
      </c>
      <c r="R730" s="2" t="n">
        <v>510</v>
      </c>
      <c r="S730" s="2" t="n"/>
      <c r="T730" s="2">
        <f>IF(OR(S730="",R730=0),"",ROUND(S730*R730,2))</f>
        <v/>
      </c>
      <c r="U730" s="2" t="inlineStr"/>
    </row>
    <row r="731">
      <c r="A731" s="2" t="inlineStr">
        <is>
          <t>Q</t>
        </is>
      </c>
      <c r="B731" s="2" t="inlineStr">
        <is>
          <t>DOMESTIC COLD AND HOT WATER SYSTEM</t>
        </is>
      </c>
      <c r="C731" s="2" t="inlineStr">
        <is>
          <t>C</t>
        </is>
      </c>
      <c r="D731" s="2" t="inlineStr">
        <is>
          <t>32mm diameter</t>
        </is>
      </c>
      <c r="E731" s="2" t="inlineStr">
        <is>
          <t>m</t>
        </is>
      </c>
      <c r="F731" s="2" t="n">
        <v>20</v>
      </c>
      <c r="G731" s="2" t="n">
        <v>20</v>
      </c>
      <c r="H731" s="2" t="n">
        <v>29</v>
      </c>
      <c r="I731" s="2" t="n">
        <v>29</v>
      </c>
      <c r="J731" s="2" t="n">
        <v>38</v>
      </c>
      <c r="K731" s="2" t="n">
        <v>38</v>
      </c>
      <c r="L731" s="2" t="n">
        <v>3</v>
      </c>
      <c r="M731" s="2" t="n">
        <v>3</v>
      </c>
      <c r="N731" s="2" t="n">
        <v>50</v>
      </c>
      <c r="O731" s="2" t="n">
        <v>0</v>
      </c>
      <c r="P731" s="2" t="n">
        <v>0</v>
      </c>
      <c r="Q731" s="2" t="n">
        <v>230</v>
      </c>
      <c r="R731" s="2" t="n">
        <v>2640</v>
      </c>
      <c r="S731" s="2" t="n"/>
      <c r="T731" s="2">
        <f>IF(OR(S731="",R731=0),"",ROUND(S731*R731,2))</f>
        <v/>
      </c>
      <c r="U731" s="2" t="inlineStr"/>
    </row>
    <row r="732">
      <c r="A732" s="2" t="inlineStr">
        <is>
          <t>Q</t>
        </is>
      </c>
      <c r="B732" s="2" t="inlineStr">
        <is>
          <t>DOMESTIC COLD AND HOT WATER SYSTEM</t>
        </is>
      </c>
      <c r="C732" s="2" t="inlineStr">
        <is>
          <t>C</t>
        </is>
      </c>
      <c r="D732" s="2" t="inlineStr">
        <is>
          <t>25mm diameter</t>
        </is>
      </c>
      <c r="E732" s="2" t="inlineStr">
        <is>
          <t>No</t>
        </is>
      </c>
      <c r="F732" s="2" t="n">
        <v>4</v>
      </c>
      <c r="G732" s="2" t="n">
        <v>4</v>
      </c>
      <c r="H732" s="2" t="n">
        <v>6</v>
      </c>
      <c r="I732" s="2" t="n">
        <v>6</v>
      </c>
      <c r="J732" s="2" t="n">
        <v>8</v>
      </c>
      <c r="K732" s="2" t="n">
        <v>8</v>
      </c>
      <c r="L732" s="2" t="n">
        <v>1</v>
      </c>
      <c r="M732" s="2" t="n">
        <v>1</v>
      </c>
      <c r="N732" s="2" t="n">
        <v>0</v>
      </c>
      <c r="O732" s="2" t="n">
        <v>1</v>
      </c>
      <c r="P732" s="2" t="n">
        <v>0</v>
      </c>
      <c r="Q732" s="2" t="n">
        <v>39</v>
      </c>
      <c r="R732" s="2" t="n">
        <v>548</v>
      </c>
      <c r="S732" s="2" t="n"/>
      <c r="T732" s="2">
        <f>IF(OR(S732="",R732=0),"",ROUND(S732*R732,2))</f>
        <v/>
      </c>
      <c r="U732" s="2" t="inlineStr"/>
    </row>
    <row r="733">
      <c r="A733" s="2" t="inlineStr">
        <is>
          <t>Q</t>
        </is>
      </c>
      <c r="B733" s="2" t="inlineStr">
        <is>
          <t>DOMESTIC COLD AND HOT WATER SYSTEM</t>
        </is>
      </c>
      <c r="C733" s="2" t="inlineStr">
        <is>
          <t>C</t>
        </is>
      </c>
      <c r="D733" s="2" t="inlineStr">
        <is>
          <t>CWSBP, 1.2 L/s @ 35m Head (1D/1S)</t>
        </is>
      </c>
      <c r="E733" s="2" t="inlineStr">
        <is>
          <t>Set</t>
        </is>
      </c>
      <c r="F733" s="2" t="n">
        <v>0</v>
      </c>
      <c r="G733" s="2" t="n">
        <v>0</v>
      </c>
      <c r="H733" s="2" t="n">
        <v>0</v>
      </c>
      <c r="I733" s="2" t="n">
        <v>0</v>
      </c>
      <c r="J733" s="2" t="n">
        <v>0</v>
      </c>
      <c r="K733" s="2" t="n">
        <v>0</v>
      </c>
      <c r="L733" s="2" t="n">
        <v>1</v>
      </c>
      <c r="M733" s="2" t="n">
        <v>1</v>
      </c>
      <c r="N733" s="2" t="n">
        <v>0</v>
      </c>
      <c r="O733" s="2" t="n">
        <v>0</v>
      </c>
      <c r="P733" s="2" t="n">
        <v>0</v>
      </c>
      <c r="Q733" s="2" t="n">
        <v>2</v>
      </c>
      <c r="R733" s="2" t="n">
        <v>37</v>
      </c>
      <c r="S733" s="2" t="n"/>
      <c r="T733" s="2">
        <f>IF(OR(S733="",R733=0),"",ROUND(S733*R733,2))</f>
        <v/>
      </c>
      <c r="U733" s="2" t="inlineStr"/>
    </row>
    <row r="734">
      <c r="A734" s="2" t="inlineStr">
        <is>
          <t>Q</t>
        </is>
      </c>
      <c r="B734" s="2" t="inlineStr">
        <is>
          <t>DOMESTIC COLD AND HOT WATER SYSTEM</t>
        </is>
      </c>
      <c r="C734" s="2" t="inlineStr">
        <is>
          <t>D</t>
        </is>
      </c>
      <c r="D734" s="2" t="inlineStr">
        <is>
          <t>Allow Water Pipe Connection from External Network</t>
        </is>
      </c>
      <c r="E734" s="2" t="inlineStr">
        <is>
          <t>Item</t>
        </is>
      </c>
      <c r="F734" s="2" t="n">
        <v>4</v>
      </c>
      <c r="G734" s="2" t="n">
        <v>4</v>
      </c>
      <c r="H734" s="2" t="n">
        <v>6</v>
      </c>
      <c r="I734" s="2" t="n">
        <v>6</v>
      </c>
      <c r="J734" s="2" t="n">
        <v>8</v>
      </c>
      <c r="K734" s="2" t="n">
        <v>8</v>
      </c>
      <c r="L734" s="2" t="n">
        <v>1</v>
      </c>
      <c r="M734" s="2" t="n">
        <v>1</v>
      </c>
      <c r="N734" s="2" t="n">
        <v>1</v>
      </c>
      <c r="O734" s="2" t="n">
        <v>1</v>
      </c>
      <c r="P734" s="2" t="n">
        <v>0</v>
      </c>
      <c r="Q734" s="2" t="n">
        <v>40</v>
      </c>
      <c r="R734" s="2" t="n">
        <v>549</v>
      </c>
      <c r="S734" s="2" t="n"/>
      <c r="T734" s="2">
        <f>IF(OR(S734="",R734=0),"",ROUND(S734*R734,2))</f>
        <v/>
      </c>
      <c r="U734" s="2" t="inlineStr"/>
    </row>
    <row r="735">
      <c r="A735" s="2" t="inlineStr">
        <is>
          <t>Q</t>
        </is>
      </c>
      <c r="B735" s="2" t="inlineStr">
        <is>
          <t>DOMESTIC COLD AND HOT WATER SYSTEM</t>
        </is>
      </c>
      <c r="C735" s="2" t="inlineStr">
        <is>
          <t>D</t>
        </is>
      </c>
      <c r="D735" s="2" t="inlineStr">
        <is>
          <t>32mm diameter</t>
        </is>
      </c>
      <c r="E735" s="2" t="inlineStr">
        <is>
          <t>No</t>
        </is>
      </c>
      <c r="F735" s="2" t="n">
        <v>0</v>
      </c>
      <c r="G735" s="2" t="n">
        <v>0</v>
      </c>
      <c r="H735" s="2" t="n">
        <v>0</v>
      </c>
      <c r="I735" s="2" t="n">
        <v>0</v>
      </c>
      <c r="J735" s="2" t="n">
        <v>0</v>
      </c>
      <c r="K735" s="2" t="n">
        <v>0</v>
      </c>
      <c r="L735" s="2" t="n">
        <v>0</v>
      </c>
      <c r="M735" s="2" t="n">
        <v>0</v>
      </c>
      <c r="N735" s="2" t="n">
        <v>1</v>
      </c>
      <c r="O735" s="2" t="n">
        <v>0</v>
      </c>
      <c r="P735" s="2" t="n">
        <v>0</v>
      </c>
      <c r="Q735" s="2" t="n">
        <v>1</v>
      </c>
      <c r="R735" s="2" t="n">
        <v>1</v>
      </c>
      <c r="S735" s="2" t="n"/>
      <c r="T735" s="2">
        <f>IF(OR(S735="",R735=0),"",ROUND(S735*R735,2))</f>
        <v/>
      </c>
      <c r="U735" s="2" t="inlineStr"/>
    </row>
    <row r="736">
      <c r="A736" s="2" t="inlineStr">
        <is>
          <t>Q</t>
        </is>
      </c>
      <c r="B736" s="2" t="inlineStr">
        <is>
          <t>DOMESTIC COLD AND HOT WATER SYSTEM</t>
        </is>
      </c>
      <c r="C736" s="2" t="inlineStr">
        <is>
          <t>D</t>
        </is>
      </c>
      <c r="D736" s="2" t="inlineStr">
        <is>
          <t>CWSBP, 1.6 L/s @ 30m Head (1D/1S)</t>
        </is>
      </c>
      <c r="E736" s="2" t="inlineStr">
        <is>
          <t>Set</t>
        </is>
      </c>
      <c r="F736" s="2" t="n">
        <v>0</v>
      </c>
      <c r="G736" s="2" t="n">
        <v>0</v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1</v>
      </c>
      <c r="O736" s="2" t="n">
        <v>0</v>
      </c>
      <c r="P736" s="2" t="n">
        <v>0</v>
      </c>
      <c r="Q736" s="2" t="n">
        <v>1</v>
      </c>
      <c r="R736" s="2" t="n">
        <v>1</v>
      </c>
      <c r="S736" s="2" t="n"/>
      <c r="T736" s="2">
        <f>IF(OR(S736="",R736=0),"",ROUND(S736*R736,2))</f>
        <v/>
      </c>
      <c r="U736" s="2" t="inlineStr"/>
    </row>
    <row r="737">
      <c r="A737" s="2" t="inlineStr">
        <is>
          <t>Q</t>
        </is>
      </c>
      <c r="B737" s="2" t="inlineStr">
        <is>
          <t>DOMESTIC COLD AND HOT WATER SYSTEM</t>
        </is>
      </c>
      <c r="C737" s="2" t="inlineStr">
        <is>
          <t>E</t>
        </is>
      </c>
      <c r="D737" s="2" t="inlineStr">
        <is>
          <t>Allow Water Pipe Connection from DEWA Network</t>
        </is>
      </c>
      <c r="E737" s="2" t="inlineStr">
        <is>
          <t>Item</t>
        </is>
      </c>
      <c r="F737" s="2" t="n">
        <v>0</v>
      </c>
      <c r="G737" s="2" t="n">
        <v>0</v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0</v>
      </c>
      <c r="N737" s="2" t="n">
        <v>1</v>
      </c>
      <c r="O737" s="2" t="n">
        <v>0</v>
      </c>
      <c r="P737" s="2" t="n">
        <v>0</v>
      </c>
      <c r="Q737" s="2" t="n">
        <v>1</v>
      </c>
      <c r="R737" s="2" t="n">
        <v>1</v>
      </c>
      <c r="S737" s="2" t="n"/>
      <c r="T737" s="2">
        <f>IF(OR(S737="",R737=0),"",ROUND(S737*R737,2))</f>
        <v/>
      </c>
      <c r="U737" s="2" t="inlineStr"/>
    </row>
    <row r="738">
      <c r="A738" s="2" t="inlineStr">
        <is>
          <t>Q</t>
        </is>
      </c>
      <c r="B738" s="2" t="inlineStr">
        <is>
          <t>DOMESTIC COLD AND HOT WATER SYSTEM</t>
        </is>
      </c>
      <c r="C738" s="2" t="inlineStr">
        <is>
          <t>E</t>
        </is>
      </c>
      <c r="D738" s="2" t="inlineStr">
        <is>
          <t>32mm diameter</t>
        </is>
      </c>
      <c r="E738" s="2" t="inlineStr">
        <is>
          <t>No</t>
        </is>
      </c>
      <c r="F738" s="2" t="n">
        <v>0</v>
      </c>
      <c r="G738" s="2" t="n">
        <v>0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1</v>
      </c>
      <c r="O738" s="2" t="n">
        <v>0</v>
      </c>
      <c r="P738" s="2" t="n">
        <v>0</v>
      </c>
      <c r="Q738" s="2" t="n">
        <v>1</v>
      </c>
      <c r="R738" s="2" t="n">
        <v>1</v>
      </c>
      <c r="S738" s="2" t="n"/>
      <c r="T738" s="2">
        <f>IF(OR(S738="",R738=0),"",ROUND(S738*R738,2))</f>
        <v/>
      </c>
      <c r="U738" s="2" t="inlineStr"/>
    </row>
    <row r="739">
      <c r="A739" s="2" t="inlineStr">
        <is>
          <t>Q</t>
        </is>
      </c>
      <c r="B739" s="2" t="inlineStr">
        <is>
          <t>DOMESTIC COLD AND HOT WATER SYSTEM</t>
        </is>
      </c>
      <c r="C739" s="2" t="inlineStr">
        <is>
          <t>E</t>
        </is>
      </c>
      <c r="D739" s="2" t="inlineStr">
        <is>
          <t>HWCP, 0.3 L/s @ 1m Head (1D)</t>
        </is>
      </c>
      <c r="E739" s="2" t="inlineStr">
        <is>
          <t>Set</t>
        </is>
      </c>
      <c r="F739" s="2" t="n">
        <v>0</v>
      </c>
      <c r="G739" s="2" t="n">
        <v>0</v>
      </c>
      <c r="H739" s="2" t="n">
        <v>0</v>
      </c>
      <c r="I739" s="2" t="n">
        <v>0</v>
      </c>
      <c r="J739" s="2" t="n">
        <v>0</v>
      </c>
      <c r="K739" s="2" t="n">
        <v>0</v>
      </c>
      <c r="L739" s="2" t="n">
        <v>1</v>
      </c>
      <c r="M739" s="2" t="n">
        <v>1</v>
      </c>
      <c r="N739" s="2" t="n">
        <v>0</v>
      </c>
      <c r="O739" s="2" t="n">
        <v>0</v>
      </c>
      <c r="P739" s="2" t="n">
        <v>0</v>
      </c>
      <c r="Q739" s="2" t="n">
        <v>2</v>
      </c>
      <c r="R739" s="2" t="n">
        <v>37</v>
      </c>
      <c r="S739" s="2" t="n"/>
      <c r="T739" s="2">
        <f>IF(OR(S739="",R739=0),"",ROUND(S739*R739,2))</f>
        <v/>
      </c>
      <c r="U739" s="2" t="inlineStr"/>
    </row>
    <row r="740">
      <c r="A740" s="2" t="inlineStr">
        <is>
          <t>Q</t>
        </is>
      </c>
      <c r="B740" s="2" t="inlineStr">
        <is>
          <t>DOMESTIC COLD AND HOT WATER SYSTEM</t>
        </is>
      </c>
      <c r="C740" s="2" t="inlineStr">
        <is>
          <t>F</t>
        </is>
      </c>
      <c r="D740" s="2" t="inlineStr">
        <is>
          <t>20mm diameter</t>
        </is>
      </c>
      <c r="E740" s="2" t="inlineStr">
        <is>
          <t>m</t>
        </is>
      </c>
      <c r="F740" s="2" t="n">
        <v>157</v>
      </c>
      <c r="G740" s="2" t="n">
        <v>157</v>
      </c>
      <c r="H740" s="2" t="n">
        <v>236</v>
      </c>
      <c r="I740" s="2" t="n">
        <v>236</v>
      </c>
      <c r="J740" s="2" t="n">
        <v>316</v>
      </c>
      <c r="K740" s="2" t="n">
        <v>316</v>
      </c>
      <c r="L740" s="2" t="n">
        <v>40</v>
      </c>
      <c r="M740" s="2" t="n">
        <v>40</v>
      </c>
      <c r="N740" s="2" t="n">
        <v>42</v>
      </c>
      <c r="O740" s="2" t="n">
        <v>6</v>
      </c>
      <c r="P740" s="2" t="n">
        <v>0</v>
      </c>
      <c r="Q740" s="2" t="n">
        <v>1546</v>
      </c>
      <c r="R740" s="2" t="n">
        <v>21597</v>
      </c>
      <c r="S740" s="2" t="n"/>
      <c r="T740" s="2">
        <f>IF(OR(S740="",R740=0),"",ROUND(S740*R740,2))</f>
        <v/>
      </c>
      <c r="U740" s="2" t="inlineStr"/>
    </row>
    <row r="741">
      <c r="A741" s="2" t="inlineStr">
        <is>
          <t>Q</t>
        </is>
      </c>
      <c r="B741" s="2" t="inlineStr">
        <is>
          <t>DOMESTIC COLD AND HOT WATER SYSTEM</t>
        </is>
      </c>
      <c r="C741" s="2" t="inlineStr">
        <is>
          <t>F</t>
        </is>
      </c>
      <c r="D741" s="2" t="inlineStr">
        <is>
          <t>20mm diameter</t>
        </is>
      </c>
      <c r="E741" s="2" t="inlineStr">
        <is>
          <t>No</t>
        </is>
      </c>
      <c r="F741" s="2" t="n">
        <v>16</v>
      </c>
      <c r="G741" s="2" t="n">
        <v>16</v>
      </c>
      <c r="H741" s="2" t="n">
        <v>26</v>
      </c>
      <c r="I741" s="2" t="n">
        <v>26</v>
      </c>
      <c r="J741" s="2" t="n">
        <v>36</v>
      </c>
      <c r="K741" s="2" t="n">
        <v>36</v>
      </c>
      <c r="L741" s="2" t="n">
        <v>5</v>
      </c>
      <c r="M741" s="2" t="n">
        <v>5</v>
      </c>
      <c r="N741" s="2" t="n">
        <v>3</v>
      </c>
      <c r="O741" s="2" t="n">
        <v>0</v>
      </c>
      <c r="P741" s="2" t="n">
        <v>0</v>
      </c>
      <c r="Q741" s="2" t="n">
        <v>169</v>
      </c>
      <c r="R741" s="2" t="n">
        <v>2370</v>
      </c>
      <c r="S741" s="2" t="n"/>
      <c r="T741" s="2">
        <f>IF(OR(S741="",R741=0),"",ROUND(S741*R741,2))</f>
        <v/>
      </c>
      <c r="U741" s="2" t="inlineStr"/>
    </row>
    <row r="742">
      <c r="A742" s="2" t="inlineStr">
        <is>
          <t>Q</t>
        </is>
      </c>
      <c r="B742" s="2" t="inlineStr">
        <is>
          <t>DOMESTIC COLD AND HOT WATER SYSTEM</t>
        </is>
      </c>
      <c r="C742" s="2" t="inlineStr">
        <is>
          <t>F</t>
        </is>
      </c>
      <c r="D742" s="2" t="inlineStr">
        <is>
          <t>500 Gal. Water Storage</t>
        </is>
      </c>
      <c r="E742" s="2" t="inlineStr">
        <is>
          <t>Set</t>
        </is>
      </c>
      <c r="F742" s="2" t="n">
        <v>2</v>
      </c>
      <c r="G742" s="2" t="n">
        <v>2</v>
      </c>
      <c r="H742" s="2" t="n">
        <v>4</v>
      </c>
      <c r="I742" s="2" t="n">
        <v>4</v>
      </c>
      <c r="J742" s="2" t="n">
        <v>6</v>
      </c>
      <c r="K742" s="2" t="n">
        <v>6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0</v>
      </c>
      <c r="Q742" s="2" t="n">
        <v>24</v>
      </c>
      <c r="R742" s="2" t="n">
        <v>326</v>
      </c>
      <c r="S742" s="2" t="n"/>
      <c r="T742" s="2">
        <f>IF(OR(S742="",R742=0),"",ROUND(S742*R742,2))</f>
        <v/>
      </c>
      <c r="U742" s="2" t="inlineStr"/>
    </row>
    <row r="743">
      <c r="A743" s="2" t="inlineStr">
        <is>
          <t>Q</t>
        </is>
      </c>
      <c r="B743" s="2" t="inlineStr">
        <is>
          <t>DOMESTIC COLD AND HOT WATER SYSTEM</t>
        </is>
      </c>
      <c r="C743" s="2" t="inlineStr">
        <is>
          <t>G</t>
        </is>
      </c>
      <c r="D743" s="2" t="inlineStr">
        <is>
          <t>25mm diameter</t>
        </is>
      </c>
      <c r="E743" s="2" t="inlineStr">
        <is>
          <t>m</t>
        </is>
      </c>
      <c r="F743" s="2" t="n">
        <v>148</v>
      </c>
      <c r="G743" s="2" t="n">
        <v>148</v>
      </c>
      <c r="H743" s="2" t="n">
        <v>202</v>
      </c>
      <c r="I743" s="2" t="n">
        <v>202</v>
      </c>
      <c r="J743" s="2" t="n">
        <v>257</v>
      </c>
      <c r="K743" s="2" t="n">
        <v>257</v>
      </c>
      <c r="L743" s="2" t="n">
        <v>43</v>
      </c>
      <c r="M743" s="2" t="n">
        <v>43</v>
      </c>
      <c r="N743" s="2" t="n">
        <v>72</v>
      </c>
      <c r="O743" s="2" t="n">
        <v>5</v>
      </c>
      <c r="P743" s="2" t="n">
        <v>0</v>
      </c>
      <c r="Q743" s="2" t="n">
        <v>1377</v>
      </c>
      <c r="R743" s="2" t="n">
        <v>19134</v>
      </c>
      <c r="S743" s="2" t="n"/>
      <c r="T743" s="2">
        <f>IF(OR(S743="",R743=0),"",ROUND(S743*R743,2))</f>
        <v/>
      </c>
      <c r="U743" s="2" t="inlineStr"/>
    </row>
    <row r="744">
      <c r="A744" s="2" t="inlineStr">
        <is>
          <t>Q</t>
        </is>
      </c>
      <c r="B744" s="2" t="inlineStr">
        <is>
          <t>DOMESTIC COLD AND HOT WATER SYSTEM</t>
        </is>
      </c>
      <c r="C744" s="2" t="inlineStr">
        <is>
          <t>G</t>
        </is>
      </c>
      <c r="D744" s="2" t="inlineStr">
        <is>
          <t>25mm diameter</t>
        </is>
      </c>
      <c r="E744" s="2" t="inlineStr">
        <is>
          <t>No</t>
        </is>
      </c>
      <c r="F744" s="2" t="n">
        <v>46</v>
      </c>
      <c r="G744" s="2" t="n">
        <v>46</v>
      </c>
      <c r="H744" s="2" t="n">
        <v>68</v>
      </c>
      <c r="I744" s="2" t="n">
        <v>68</v>
      </c>
      <c r="J744" s="2" t="n">
        <v>90</v>
      </c>
      <c r="K744" s="2" t="n">
        <v>90</v>
      </c>
      <c r="L744" s="2" t="n">
        <v>14</v>
      </c>
      <c r="M744" s="2" t="n">
        <v>14</v>
      </c>
      <c r="N744" s="2" t="n">
        <v>7</v>
      </c>
      <c r="O744" s="2" t="n">
        <v>2</v>
      </c>
      <c r="P744" s="2" t="n">
        <v>0</v>
      </c>
      <c r="Q744" s="2" t="n">
        <v>445</v>
      </c>
      <c r="R744" s="2" t="n">
        <v>6321</v>
      </c>
      <c r="S744" s="2" t="n"/>
      <c r="T744" s="2">
        <f>IF(OR(S744="",R744=0),"",ROUND(S744*R744,2))</f>
        <v/>
      </c>
      <c r="U744" s="2" t="inlineStr"/>
    </row>
    <row r="745">
      <c r="A745" s="2" t="inlineStr">
        <is>
          <t>Q</t>
        </is>
      </c>
      <c r="B745" s="2" t="inlineStr">
        <is>
          <t>DOMESTIC COLD AND HOT WATER SYSTEM</t>
        </is>
      </c>
      <c r="C745" s="2" t="inlineStr">
        <is>
          <t>G</t>
        </is>
      </c>
      <c r="D745" s="2" t="inlineStr">
        <is>
          <t>600 Gal. Water Storage</t>
        </is>
      </c>
      <c r="E745" s="2" t="inlineStr">
        <is>
          <t>Set</t>
        </is>
      </c>
      <c r="F745" s="2" t="n">
        <v>2</v>
      </c>
      <c r="G745" s="2" t="n">
        <v>2</v>
      </c>
      <c r="H745" s="2" t="n">
        <v>2</v>
      </c>
      <c r="I745" s="2" t="n">
        <v>2</v>
      </c>
      <c r="J745" s="2" t="n">
        <v>2</v>
      </c>
      <c r="K745" s="2" t="n">
        <v>2</v>
      </c>
      <c r="L745" s="2" t="n">
        <v>0</v>
      </c>
      <c r="M745" s="2" t="n">
        <v>0</v>
      </c>
      <c r="N745" s="2" t="n">
        <v>0</v>
      </c>
      <c r="O745" s="2" t="n">
        <v>0</v>
      </c>
      <c r="P745" s="2" t="n">
        <v>0</v>
      </c>
      <c r="Q745" s="2" t="n">
        <v>12</v>
      </c>
      <c r="R745" s="2" t="n">
        <v>184</v>
      </c>
      <c r="S745" s="2" t="n"/>
      <c r="T745" s="2">
        <f>IF(OR(S745="",R745=0),"",ROUND(S745*R745,2))</f>
        <v/>
      </c>
      <c r="U745" s="2" t="inlineStr"/>
    </row>
    <row r="746">
      <c r="A746" s="2" t="inlineStr">
        <is>
          <t>Q</t>
        </is>
      </c>
      <c r="B746" s="2" t="inlineStr">
        <is>
          <t>DOMESTIC COLD AND HOT WATER SYSTEM</t>
        </is>
      </c>
      <c r="C746" s="2" t="inlineStr">
        <is>
          <t>H</t>
        </is>
      </c>
      <c r="D746" s="2" t="inlineStr">
        <is>
          <t>32mm diameter</t>
        </is>
      </c>
      <c r="E746" s="2" t="inlineStr">
        <is>
          <t>m</t>
        </is>
      </c>
      <c r="F746" s="2" t="n">
        <v>42</v>
      </c>
      <c r="G746" s="2" t="n">
        <v>42</v>
      </c>
      <c r="H746" s="2" t="n">
        <v>67</v>
      </c>
      <c r="I746" s="2" t="n">
        <v>67</v>
      </c>
      <c r="J746" s="2" t="n">
        <v>92</v>
      </c>
      <c r="K746" s="2" t="n">
        <v>92</v>
      </c>
      <c r="L746" s="2" t="n">
        <v>30</v>
      </c>
      <c r="M746" s="2" t="n">
        <v>30</v>
      </c>
      <c r="N746" s="2" t="n">
        <v>16</v>
      </c>
      <c r="O746" s="2" t="n">
        <v>2</v>
      </c>
      <c r="P746" s="2" t="n">
        <v>0</v>
      </c>
      <c r="Q746" s="2" t="n">
        <v>480</v>
      </c>
      <c r="R746" s="2" t="n">
        <v>6767</v>
      </c>
      <c r="S746" s="2" t="n"/>
      <c r="T746" s="2">
        <f>IF(OR(S746="",R746=0),"",ROUND(S746*R746,2))</f>
        <v/>
      </c>
      <c r="U746" s="2" t="inlineStr"/>
    </row>
    <row r="747">
      <c r="A747" s="2" t="inlineStr">
        <is>
          <t>Q</t>
        </is>
      </c>
      <c r="B747" s="2" t="inlineStr">
        <is>
          <t>DOMESTIC COLD AND HOT WATER SYSTEM</t>
        </is>
      </c>
      <c r="C747" s="2" t="inlineStr">
        <is>
          <t>H</t>
        </is>
      </c>
      <c r="D747" s="2" t="inlineStr">
        <is>
          <t>32mm diameter</t>
        </is>
      </c>
      <c r="E747" s="2" t="inlineStr">
        <is>
          <t>No</t>
        </is>
      </c>
      <c r="F747" s="2" t="n">
        <v>8</v>
      </c>
      <c r="G747" s="2" t="n">
        <v>8</v>
      </c>
      <c r="H747" s="2" t="n">
        <v>12</v>
      </c>
      <c r="I747" s="2" t="n">
        <v>12</v>
      </c>
      <c r="J747" s="2" t="n">
        <v>16</v>
      </c>
      <c r="K747" s="2" t="n">
        <v>16</v>
      </c>
      <c r="L747" s="2" t="n">
        <v>5</v>
      </c>
      <c r="M747" s="2" t="n">
        <v>5</v>
      </c>
      <c r="N747" s="2" t="n">
        <v>2</v>
      </c>
      <c r="O747" s="2" t="n">
        <v>1</v>
      </c>
      <c r="P747" s="2" t="n">
        <v>0</v>
      </c>
      <c r="Q747" s="2" t="n">
        <v>85</v>
      </c>
      <c r="R747" s="2" t="n">
        <v>1208</v>
      </c>
      <c r="S747" s="2" t="n"/>
      <c r="T747" s="2">
        <f>IF(OR(S747="",R747=0),"",ROUND(S747*R747,2))</f>
        <v/>
      </c>
      <c r="U747" s="2" t="inlineStr"/>
    </row>
    <row r="748">
      <c r="A748" s="2" t="inlineStr">
        <is>
          <t>Q</t>
        </is>
      </c>
      <c r="B748" s="2" t="inlineStr">
        <is>
          <t>DOMESTIC COLD AND HOT WATER SYSTEM</t>
        </is>
      </c>
      <c r="C748" s="2" t="inlineStr">
        <is>
          <t>H</t>
        </is>
      </c>
      <c r="D748" s="2" t="inlineStr">
        <is>
          <t>925 Gal. Water Storage</t>
        </is>
      </c>
      <c r="E748" s="2" t="inlineStr">
        <is>
          <t>Set</t>
        </is>
      </c>
      <c r="F748" s="2" t="n">
        <v>0</v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1</v>
      </c>
      <c r="M748" s="2" t="n">
        <v>1</v>
      </c>
      <c r="N748" s="2" t="n">
        <v>0</v>
      </c>
      <c r="O748" s="2" t="n">
        <v>0</v>
      </c>
      <c r="P748" s="2" t="n">
        <v>0</v>
      </c>
      <c r="Q748" s="2" t="n">
        <v>2</v>
      </c>
      <c r="R748" s="2" t="n">
        <v>37</v>
      </c>
      <c r="S748" s="2" t="n"/>
      <c r="T748" s="2">
        <f>IF(OR(S748="",R748=0),"",ROUND(S748*R748,2))</f>
        <v/>
      </c>
      <c r="U748" s="2" t="inlineStr"/>
    </row>
    <row r="749">
      <c r="A749" s="2" t="inlineStr">
        <is>
          <t>Q</t>
        </is>
      </c>
      <c r="B749" s="2" t="inlineStr">
        <is>
          <t>DOMESTIC COLD AND HOT WATER SYSTEM</t>
        </is>
      </c>
      <c r="C749" s="2" t="inlineStr">
        <is>
          <t>J</t>
        </is>
      </c>
      <c r="D749" s="2" t="inlineStr">
        <is>
          <t>40mm diameter</t>
        </is>
      </c>
      <c r="E749" s="2" t="inlineStr">
        <is>
          <t>m</t>
        </is>
      </c>
      <c r="F749" s="2" t="n">
        <v>0</v>
      </c>
      <c r="G749" s="2" t="n">
        <v>0</v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8</v>
      </c>
      <c r="O749" s="2" t="n">
        <v>0</v>
      </c>
      <c r="P749" s="2" t="n">
        <v>0</v>
      </c>
      <c r="Q749" s="2" t="n">
        <v>8</v>
      </c>
      <c r="R749" s="2" t="n">
        <v>8</v>
      </c>
      <c r="S749" s="2" t="n"/>
      <c r="T749" s="2">
        <f>IF(OR(S749="",R749=0),"",ROUND(S749*R749,2))</f>
        <v/>
      </c>
      <c r="U749" s="2" t="inlineStr"/>
    </row>
    <row r="750">
      <c r="A750" s="2" t="inlineStr">
        <is>
          <t>Q</t>
        </is>
      </c>
      <c r="B750" s="2" t="inlineStr">
        <is>
          <t>DOMESTIC COLD AND HOT WATER SYSTEM</t>
        </is>
      </c>
      <c r="C750" s="2" t="inlineStr">
        <is>
          <t>J</t>
        </is>
      </c>
      <c r="D750" s="2" t="inlineStr">
        <is>
          <t>40mm diameter</t>
        </is>
      </c>
      <c r="E750" s="2" t="inlineStr">
        <is>
          <t>No</t>
        </is>
      </c>
      <c r="F750" s="2" t="n">
        <v>0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4</v>
      </c>
      <c r="O750" s="2" t="n">
        <v>0</v>
      </c>
      <c r="P750" s="2" t="n">
        <v>0</v>
      </c>
      <c r="Q750" s="2" t="n">
        <v>4</v>
      </c>
      <c r="R750" s="2" t="n">
        <v>4</v>
      </c>
      <c r="S750" s="2" t="n"/>
      <c r="T750" s="2">
        <f>IF(OR(S750="",R750=0),"",ROUND(S750*R750,2))</f>
        <v/>
      </c>
      <c r="U750" s="2" t="inlineStr"/>
    </row>
    <row r="751">
      <c r="A751" s="2" t="inlineStr">
        <is>
          <t>Q</t>
        </is>
      </c>
      <c r="B751" s="2" t="inlineStr">
        <is>
          <t>DOMESTIC COLD AND HOT WATER SYSTEM</t>
        </is>
      </c>
      <c r="C751" s="2" t="inlineStr">
        <is>
          <t>J</t>
        </is>
      </c>
      <c r="D751" s="2" t="inlineStr">
        <is>
          <t>50 Gal. Water Storage</t>
        </is>
      </c>
      <c r="E751" s="2" t="inlineStr">
        <is>
          <t>Set</t>
        </is>
      </c>
      <c r="F751" s="2" t="n">
        <v>0</v>
      </c>
      <c r="G751" s="2" t="n">
        <v>0</v>
      </c>
      <c r="H751" s="2" t="n">
        <v>0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O751" s="2" t="n">
        <v>1</v>
      </c>
      <c r="P751" s="2" t="n">
        <v>0</v>
      </c>
      <c r="Q751" s="2" t="n">
        <v>1</v>
      </c>
      <c r="R751" s="2" t="n">
        <v>1</v>
      </c>
      <c r="S751" s="2" t="n"/>
      <c r="T751" s="2">
        <f>IF(OR(S751="",R751=0),"",ROUND(S751*R751,2))</f>
        <v/>
      </c>
      <c r="U751" s="2" t="inlineStr"/>
    </row>
    <row r="752">
      <c r="A752" s="2" t="inlineStr">
        <is>
          <t>Q</t>
        </is>
      </c>
      <c r="B752" s="2" t="inlineStr">
        <is>
          <t>DOMESTIC COLD AND HOT WATER SYSTEM</t>
        </is>
      </c>
      <c r="C752" s="2" t="inlineStr">
        <is>
          <t>K</t>
        </is>
      </c>
      <c r="D752" s="2" t="inlineStr">
        <is>
          <t>50mm diameter</t>
        </is>
      </c>
      <c r="E752" s="2" t="inlineStr">
        <is>
          <t>m</t>
        </is>
      </c>
      <c r="F752" s="2" t="n">
        <v>0</v>
      </c>
      <c r="G752" s="2" t="n">
        <v>0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4</v>
      </c>
      <c r="O752" s="2" t="n">
        <v>0</v>
      </c>
      <c r="P752" s="2" t="n">
        <v>0</v>
      </c>
      <c r="Q752" s="2" t="n">
        <v>4</v>
      </c>
      <c r="R752" s="2" t="n">
        <v>4</v>
      </c>
      <c r="S752" s="2" t="n"/>
      <c r="T752" s="2">
        <f>IF(OR(S752="",R752=0),"",ROUND(S752*R752,2))</f>
        <v/>
      </c>
      <c r="U752" s="2" t="inlineStr"/>
    </row>
    <row r="753">
      <c r="A753" s="2" t="inlineStr">
        <is>
          <t>Q</t>
        </is>
      </c>
      <c r="B753" s="2" t="inlineStr">
        <is>
          <t>DOMESTIC COLD AND HOT WATER SYSTEM</t>
        </is>
      </c>
      <c r="C753" s="2" t="inlineStr">
        <is>
          <t>K</t>
        </is>
      </c>
      <c r="D753" s="2" t="inlineStr">
        <is>
          <t>50mm diameter</t>
        </is>
      </c>
      <c r="E753" s="2" t="inlineStr">
        <is>
          <t>No</t>
        </is>
      </c>
      <c r="F753" s="2" t="n">
        <v>0</v>
      </c>
      <c r="G753" s="2" t="n">
        <v>0</v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2</v>
      </c>
      <c r="O753" s="2" t="n">
        <v>0</v>
      </c>
      <c r="P753" s="2" t="n">
        <v>0</v>
      </c>
      <c r="Q753" s="2" t="n">
        <v>2</v>
      </c>
      <c r="R753" s="2" t="n">
        <v>2</v>
      </c>
      <c r="S753" s="2" t="n"/>
      <c r="T753" s="2">
        <f>IF(OR(S753="",R753=0),"",ROUND(S753*R753,2))</f>
        <v/>
      </c>
      <c r="U753" s="2" t="inlineStr"/>
    </row>
    <row r="754">
      <c r="A754" s="2" t="inlineStr">
        <is>
          <t>Q</t>
        </is>
      </c>
      <c r="B754" s="2" t="inlineStr">
        <is>
          <t>DOMESTIC COLD AND HOT WATER SYSTEM</t>
        </is>
      </c>
      <c r="C754" s="2" t="inlineStr">
        <is>
          <t>K</t>
        </is>
      </c>
      <c r="D754" s="2" t="inlineStr">
        <is>
          <t>2500 Gal. Water Storage</t>
        </is>
      </c>
      <c r="E754" s="2" t="inlineStr">
        <is>
          <t>Set</t>
        </is>
      </c>
      <c r="F754" s="2" t="n">
        <v>0</v>
      </c>
      <c r="G754" s="2" t="n">
        <v>0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1</v>
      </c>
      <c r="O754" s="2" t="n">
        <v>0</v>
      </c>
      <c r="P754" s="2" t="n">
        <v>0</v>
      </c>
      <c r="Q754" s="2" t="n">
        <v>1</v>
      </c>
      <c r="R754" s="2" t="n">
        <v>1</v>
      </c>
      <c r="S754" s="2" t="n"/>
      <c r="T754" s="2">
        <f>IF(OR(S754="",R754=0),"",ROUND(S754*R754,2))</f>
        <v/>
      </c>
      <c r="U754" s="2" t="inlineStr"/>
    </row>
    <row r="755">
      <c r="A755" s="2" t="inlineStr">
        <is>
          <t>Q</t>
        </is>
      </c>
      <c r="B755" s="2" t="inlineStr">
        <is>
          <t>DOMESTIC COLD AND HOT WATER SYSTEM</t>
        </is>
      </c>
      <c r="C755" s="2" t="inlineStr">
        <is>
          <t>L</t>
        </is>
      </c>
      <c r="D755" s="2" t="inlineStr">
        <is>
          <t>20mm diameter</t>
        </is>
      </c>
      <c r="E755" s="2" t="inlineStr">
        <is>
          <t>m</t>
        </is>
      </c>
      <c r="F755" s="2" t="n">
        <v>0</v>
      </c>
      <c r="G755" s="2" t="n">
        <v>0</v>
      </c>
      <c r="H755" s="2" t="n">
        <v>0</v>
      </c>
      <c r="I755" s="2" t="n">
        <v>0</v>
      </c>
      <c r="J755" s="2" t="n">
        <v>0</v>
      </c>
      <c r="K755" s="2" t="n">
        <v>0</v>
      </c>
      <c r="L755" s="2" t="n">
        <v>93</v>
      </c>
      <c r="M755" s="2" t="n">
        <v>93</v>
      </c>
      <c r="N755" s="2" t="n">
        <v>0</v>
      </c>
      <c r="O755" s="2" t="n">
        <v>0</v>
      </c>
      <c r="P755" s="2" t="n">
        <v>0</v>
      </c>
      <c r="Q755" s="2" t="n">
        <v>186</v>
      </c>
      <c r="R755" s="2" t="n">
        <v>3441</v>
      </c>
      <c r="S755" s="2" t="n"/>
      <c r="T755" s="2">
        <f>IF(OR(S755="",R755=0),"",ROUND(S755*R755,2))</f>
        <v/>
      </c>
      <c r="U755" s="2" t="inlineStr"/>
    </row>
    <row r="756">
      <c r="A756" s="2" t="inlineStr">
        <is>
          <t>Q</t>
        </is>
      </c>
      <c r="B756" s="2" t="inlineStr">
        <is>
          <t>DOMESTIC COLD AND HOT WATER SYSTEM</t>
        </is>
      </c>
      <c r="C756" s="2" t="inlineStr">
        <is>
          <t>L</t>
        </is>
      </c>
      <c r="D756" s="2" t="inlineStr">
        <is>
          <t>25mm diameter</t>
        </is>
      </c>
      <c r="E756" s="2" t="inlineStr">
        <is>
          <t>No</t>
        </is>
      </c>
      <c r="F756" s="2" t="n">
        <v>2</v>
      </c>
      <c r="G756" s="2" t="n">
        <v>2</v>
      </c>
      <c r="H756" s="2" t="n">
        <v>2</v>
      </c>
      <c r="I756" s="2" t="n">
        <v>2</v>
      </c>
      <c r="J756" s="2" t="n">
        <v>2</v>
      </c>
      <c r="K756" s="2" t="n">
        <v>2</v>
      </c>
      <c r="L756" s="2" t="n">
        <v>0</v>
      </c>
      <c r="M756" s="2" t="n">
        <v>0</v>
      </c>
      <c r="N756" s="2" t="n">
        <v>1</v>
      </c>
      <c r="O756" s="2" t="n">
        <v>0</v>
      </c>
      <c r="P756" s="2" t="n">
        <v>0</v>
      </c>
      <c r="Q756" s="2" t="n">
        <v>13</v>
      </c>
      <c r="R756" s="2" t="n">
        <v>185</v>
      </c>
      <c r="S756" s="2" t="n"/>
      <c r="T756" s="2">
        <f>IF(OR(S756="",R756=0),"",ROUND(S756*R756,2))</f>
        <v/>
      </c>
      <c r="U756" s="2" t="inlineStr"/>
    </row>
    <row r="757">
      <c r="A757" s="2" t="inlineStr">
        <is>
          <t>Q</t>
        </is>
      </c>
      <c r="B757" s="2" t="inlineStr">
        <is>
          <t>DOMESTIC COLD AND HOT WATER SYSTEM</t>
        </is>
      </c>
      <c r="C757" s="2" t="inlineStr">
        <is>
          <t>L</t>
        </is>
      </c>
      <c r="D757" s="2" t="inlineStr">
        <is>
          <t>200 Ltr. Capacity</t>
        </is>
      </c>
      <c r="E757" s="2" t="inlineStr">
        <is>
          <t>Set</t>
        </is>
      </c>
      <c r="F757" s="2" t="n">
        <v>2</v>
      </c>
      <c r="G757" s="2" t="n">
        <v>2</v>
      </c>
      <c r="H757" s="2" t="n">
        <v>4</v>
      </c>
      <c r="I757" s="2" t="n">
        <v>4</v>
      </c>
      <c r="J757" s="2" t="n">
        <v>6</v>
      </c>
      <c r="K757" s="2" t="n">
        <v>6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0</v>
      </c>
      <c r="Q757" s="2" t="n">
        <v>24</v>
      </c>
      <c r="R757" s="2" t="n">
        <v>326</v>
      </c>
      <c r="S757" s="2" t="n"/>
      <c r="T757" s="2">
        <f>IF(OR(S757="",R757=0),"",ROUND(S757*R757,2))</f>
        <v/>
      </c>
      <c r="U757" s="2" t="inlineStr"/>
    </row>
    <row r="758">
      <c r="A758" s="2" t="inlineStr">
        <is>
          <t>Q</t>
        </is>
      </c>
      <c r="B758" s="2" t="inlineStr">
        <is>
          <t>DOMESTIC COLD AND HOT WATER SYSTEM</t>
        </is>
      </c>
      <c r="C758" s="2" t="inlineStr">
        <is>
          <t>M</t>
        </is>
      </c>
      <c r="D758" s="2" t="inlineStr">
        <is>
          <t>25mm diameter</t>
        </is>
      </c>
      <c r="E758" s="2" t="inlineStr">
        <is>
          <t>m</t>
        </is>
      </c>
      <c r="F758" s="2" t="n">
        <v>0</v>
      </c>
      <c r="G758" s="2" t="n">
        <v>0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49</v>
      </c>
      <c r="M758" s="2" t="n">
        <v>49</v>
      </c>
      <c r="N758" s="2" t="n">
        <v>0</v>
      </c>
      <c r="O758" s="2" t="n">
        <v>0</v>
      </c>
      <c r="P758" s="2" t="n">
        <v>0</v>
      </c>
      <c r="Q758" s="2" t="n">
        <v>98</v>
      </c>
      <c r="R758" s="2" t="n">
        <v>1813</v>
      </c>
      <c r="S758" s="2" t="n"/>
      <c r="T758" s="2">
        <f>IF(OR(S758="",R758=0),"",ROUND(S758*R758,2))</f>
        <v/>
      </c>
      <c r="U758" s="2" t="inlineStr"/>
    </row>
    <row r="759">
      <c r="A759" s="2" t="inlineStr">
        <is>
          <t>Q</t>
        </is>
      </c>
      <c r="B759" s="2" t="inlineStr">
        <is>
          <t>DOMESTIC COLD AND HOT WATER SYSTEM</t>
        </is>
      </c>
      <c r="C759" s="2" t="inlineStr">
        <is>
          <t>M</t>
        </is>
      </c>
      <c r="D759" s="2" t="inlineStr">
        <is>
          <t>32mm diameter</t>
        </is>
      </c>
      <c r="E759" s="2" t="inlineStr">
        <is>
          <t>No</t>
        </is>
      </c>
      <c r="F759" s="2" t="n">
        <v>4</v>
      </c>
      <c r="G759" s="2" t="n">
        <v>4</v>
      </c>
      <c r="H759" s="2" t="n">
        <v>6</v>
      </c>
      <c r="I759" s="2" t="n">
        <v>6</v>
      </c>
      <c r="J759" s="2" t="n">
        <v>8</v>
      </c>
      <c r="K759" s="2" t="n">
        <v>8</v>
      </c>
      <c r="L759" s="2" t="n">
        <v>2</v>
      </c>
      <c r="M759" s="2" t="n">
        <v>2</v>
      </c>
      <c r="N759" s="2" t="n">
        <v>0</v>
      </c>
      <c r="O759" s="2" t="n">
        <v>1</v>
      </c>
      <c r="P759" s="2" t="n">
        <v>0</v>
      </c>
      <c r="Q759" s="2" t="n">
        <v>41</v>
      </c>
      <c r="R759" s="2" t="n">
        <v>585</v>
      </c>
      <c r="S759" s="2" t="n"/>
      <c r="T759" s="2">
        <f>IF(OR(S759="",R759=0),"",ROUND(S759*R759,2))</f>
        <v/>
      </c>
      <c r="U759" s="2" t="inlineStr"/>
    </row>
    <row r="760">
      <c r="A760" s="2" t="inlineStr">
        <is>
          <t>Q</t>
        </is>
      </c>
      <c r="B760" s="2" t="inlineStr">
        <is>
          <t>DOMESTIC COLD AND HOT WATER SYSTEM</t>
        </is>
      </c>
      <c r="C760" s="2" t="inlineStr">
        <is>
          <t>M</t>
        </is>
      </c>
      <c r="D760" s="2" t="inlineStr">
        <is>
          <t>300 Ltr. Capacity</t>
        </is>
      </c>
      <c r="E760" s="2" t="inlineStr">
        <is>
          <t>Set</t>
        </is>
      </c>
      <c r="F760" s="2" t="n">
        <v>2</v>
      </c>
      <c r="G760" s="2" t="n">
        <v>2</v>
      </c>
      <c r="H760" s="2" t="n">
        <v>2</v>
      </c>
      <c r="I760" s="2" t="n">
        <v>2</v>
      </c>
      <c r="J760" s="2" t="n">
        <v>2</v>
      </c>
      <c r="K760" s="2" t="n">
        <v>2</v>
      </c>
      <c r="L760" s="2" t="n">
        <v>0</v>
      </c>
      <c r="M760" s="2" t="n">
        <v>0</v>
      </c>
      <c r="N760" s="2" t="n">
        <v>1</v>
      </c>
      <c r="O760" s="2" t="n">
        <v>0</v>
      </c>
      <c r="P760" s="2" t="n">
        <v>0</v>
      </c>
      <c r="Q760" s="2" t="n">
        <v>13</v>
      </c>
      <c r="R760" s="2" t="n">
        <v>185</v>
      </c>
      <c r="S760" s="2" t="n"/>
      <c r="T760" s="2">
        <f>IF(OR(S760="",R760=0),"",ROUND(S760*R760,2))</f>
        <v/>
      </c>
      <c r="U760" s="2" t="inlineStr"/>
    </row>
    <row r="761">
      <c r="A761" s="2" t="inlineStr">
        <is>
          <t>Q</t>
        </is>
      </c>
      <c r="B761" s="2" t="inlineStr">
        <is>
          <t>DOMESTIC COLD AND HOT WATER SYSTEM</t>
        </is>
      </c>
      <c r="C761" s="2" t="inlineStr">
        <is>
          <t>N</t>
        </is>
      </c>
      <c r="D761" s="2" t="inlineStr">
        <is>
          <t>20mm diameter</t>
        </is>
      </c>
      <c r="E761" s="2" t="inlineStr">
        <is>
          <t>m</t>
        </is>
      </c>
      <c r="F761" s="2" t="n">
        <v>83</v>
      </c>
      <c r="G761" s="2" t="n">
        <v>83</v>
      </c>
      <c r="H761" s="2" t="n">
        <v>120</v>
      </c>
      <c r="I761" s="2" t="n">
        <v>120</v>
      </c>
      <c r="J761" s="2" t="n">
        <v>156</v>
      </c>
      <c r="K761" s="2" t="n">
        <v>156</v>
      </c>
      <c r="L761" s="2" t="n">
        <v>0</v>
      </c>
      <c r="M761" s="2" t="n">
        <v>0</v>
      </c>
      <c r="N761" s="2" t="n">
        <v>10</v>
      </c>
      <c r="O761" s="2" t="n">
        <v>0</v>
      </c>
      <c r="P761" s="2" t="n">
        <v>0</v>
      </c>
      <c r="Q761" s="2" t="n">
        <v>728</v>
      </c>
      <c r="R761" s="2" t="n">
        <v>10257</v>
      </c>
      <c r="S761" s="2" t="n"/>
      <c r="T761" s="2">
        <f>IF(OR(S761="",R761=0),"",ROUND(S761*R761,2))</f>
        <v/>
      </c>
      <c r="U761" s="2" t="inlineStr"/>
    </row>
    <row r="762">
      <c r="A762" s="2" t="inlineStr">
        <is>
          <t>Q</t>
        </is>
      </c>
      <c r="B762" s="2" t="inlineStr">
        <is>
          <t>DOMESTIC COLD AND HOT WATER SYSTEM</t>
        </is>
      </c>
      <c r="C762" s="2" t="inlineStr">
        <is>
          <t>N</t>
        </is>
      </c>
      <c r="D762" s="2" t="inlineStr">
        <is>
          <t>40mm diameter</t>
        </is>
      </c>
      <c r="E762" s="2" t="inlineStr">
        <is>
          <t>No</t>
        </is>
      </c>
      <c r="F762" s="2" t="n">
        <v>0</v>
      </c>
      <c r="G762" s="2" t="n">
        <v>0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2</v>
      </c>
      <c r="O762" s="2" t="n">
        <v>0</v>
      </c>
      <c r="P762" s="2" t="n">
        <v>0</v>
      </c>
      <c r="Q762" s="2" t="n">
        <v>2</v>
      </c>
      <c r="R762" s="2" t="n">
        <v>2</v>
      </c>
      <c r="S762" s="2" t="n"/>
      <c r="T762" s="2">
        <f>IF(OR(S762="",R762=0),"",ROUND(S762*R762,2))</f>
        <v/>
      </c>
      <c r="U762" s="2" t="inlineStr"/>
    </row>
    <row r="763">
      <c r="A763" s="2" t="inlineStr">
        <is>
          <t>Q</t>
        </is>
      </c>
      <c r="B763" s="2" t="inlineStr">
        <is>
          <t>DOMESTIC COLD AND HOT WATER SYSTEM</t>
        </is>
      </c>
      <c r="C763" s="2" t="inlineStr">
        <is>
          <t>N</t>
        </is>
      </c>
      <c r="D763" s="2" t="inlineStr">
        <is>
          <t>200 Ltr. Capacity</t>
        </is>
      </c>
      <c r="E763" s="2" t="inlineStr">
        <is>
          <t>Set</t>
        </is>
      </c>
      <c r="F763" s="2" t="n">
        <v>0</v>
      </c>
      <c r="G763" s="2" t="n">
        <v>0</v>
      </c>
      <c r="H763" s="2" t="n">
        <v>0</v>
      </c>
      <c r="I763" s="2" t="n">
        <v>0</v>
      </c>
      <c r="J763" s="2" t="n">
        <v>0</v>
      </c>
      <c r="K763" s="2" t="n">
        <v>0</v>
      </c>
      <c r="L763" s="2" t="n">
        <v>1</v>
      </c>
      <c r="M763" s="2" t="n">
        <v>1</v>
      </c>
      <c r="N763" s="2" t="n">
        <v>0</v>
      </c>
      <c r="O763" s="2" t="n">
        <v>0</v>
      </c>
      <c r="P763" s="2" t="n">
        <v>0</v>
      </c>
      <c r="Q763" s="2" t="n">
        <v>2</v>
      </c>
      <c r="R763" s="2" t="n">
        <v>37</v>
      </c>
      <c r="S763" s="2" t="n"/>
      <c r="T763" s="2">
        <f>IF(OR(S763="",R763=0),"",ROUND(S763*R763,2))</f>
        <v/>
      </c>
      <c r="U763" s="2" t="inlineStr"/>
    </row>
    <row r="764">
      <c r="A764" s="2" t="inlineStr">
        <is>
          <t>Q</t>
        </is>
      </c>
      <c r="B764" s="2" t="inlineStr">
        <is>
          <t>DOMESTIC COLD AND HOT WATER SYSTEM</t>
        </is>
      </c>
      <c r="C764" s="2" t="inlineStr">
        <is>
          <t>P</t>
        </is>
      </c>
      <c r="D764" s="2" t="inlineStr">
        <is>
          <t>25mm diameter</t>
        </is>
      </c>
      <c r="E764" s="2" t="inlineStr">
        <is>
          <t>m</t>
        </is>
      </c>
      <c r="F764" s="2" t="n">
        <v>125</v>
      </c>
      <c r="G764" s="2" t="n">
        <v>125</v>
      </c>
      <c r="H764" s="2" t="n">
        <v>172</v>
      </c>
      <c r="I764" s="2" t="n">
        <v>172</v>
      </c>
      <c r="J764" s="2" t="n">
        <v>219</v>
      </c>
      <c r="K764" s="2" t="n">
        <v>219</v>
      </c>
      <c r="L764" s="2" t="n">
        <v>0</v>
      </c>
      <c r="M764" s="2" t="n">
        <v>0</v>
      </c>
      <c r="N764" s="2" t="n">
        <v>39</v>
      </c>
      <c r="O764" s="2" t="n">
        <v>0</v>
      </c>
      <c r="P764" s="2" t="n">
        <v>0</v>
      </c>
      <c r="Q764" s="2" t="n">
        <v>1071</v>
      </c>
      <c r="R764" s="2" t="n">
        <v>14876</v>
      </c>
      <c r="S764" s="2" t="n"/>
      <c r="T764" s="2">
        <f>IF(OR(S764="",R764=0),"",ROUND(S764*R764,2))</f>
        <v/>
      </c>
      <c r="U764" s="2" t="inlineStr"/>
    </row>
    <row r="765">
      <c r="A765" s="2" t="inlineStr">
        <is>
          <t>Q</t>
        </is>
      </c>
      <c r="B765" s="2" t="inlineStr">
        <is>
          <t>DOMESTIC COLD AND HOT WATER SYSTEM</t>
        </is>
      </c>
      <c r="C765" s="2" t="inlineStr">
        <is>
          <t>P</t>
        </is>
      </c>
      <c r="D765" s="2" t="inlineStr">
        <is>
          <t>25mm diameter</t>
        </is>
      </c>
      <c r="E765" s="2" t="inlineStr">
        <is>
          <t>No</t>
        </is>
      </c>
      <c r="F765" s="2" t="n">
        <v>0</v>
      </c>
      <c r="G765" s="2" t="n">
        <v>0</v>
      </c>
      <c r="H765" s="2" t="n">
        <v>0</v>
      </c>
      <c r="I765" s="2" t="n">
        <v>0</v>
      </c>
      <c r="J765" s="2" t="n">
        <v>0</v>
      </c>
      <c r="K765" s="2" t="n">
        <v>0</v>
      </c>
      <c r="L765" s="2" t="n">
        <v>0</v>
      </c>
      <c r="M765" s="2" t="n">
        <v>0</v>
      </c>
      <c r="N765" s="2" t="n">
        <v>0</v>
      </c>
      <c r="O765" s="2" t="n">
        <v>1</v>
      </c>
      <c r="P765" s="2" t="n">
        <v>0</v>
      </c>
      <c r="Q765" s="2" t="n">
        <v>1</v>
      </c>
      <c r="R765" s="2" t="n">
        <v>1</v>
      </c>
      <c r="S765" s="2" t="n"/>
      <c r="T765" s="2">
        <f>IF(OR(S765="",R765=0),"",ROUND(S765*R765,2))</f>
        <v/>
      </c>
      <c r="U765" s="2" t="inlineStr"/>
    </row>
    <row r="766">
      <c r="A766" s="2" t="inlineStr">
        <is>
          <t>Q</t>
        </is>
      </c>
      <c r="B766" s="2" t="inlineStr">
        <is>
          <t>DOMESTIC COLD AND HOT WATER SYSTEM</t>
        </is>
      </c>
      <c r="C766" s="2" t="inlineStr">
        <is>
          <t>Q</t>
        </is>
      </c>
      <c r="D766" s="2" t="inlineStr">
        <is>
          <t>16mm diameter</t>
        </is>
      </c>
      <c r="E766" s="2" t="inlineStr">
        <is>
          <t>m</t>
        </is>
      </c>
      <c r="F766" s="2" t="n">
        <v>300</v>
      </c>
      <c r="G766" s="2" t="n">
        <v>300</v>
      </c>
      <c r="H766" s="2" t="n">
        <v>420</v>
      </c>
      <c r="I766" s="2" t="n">
        <v>420</v>
      </c>
      <c r="J766" s="2" t="n">
        <v>540</v>
      </c>
      <c r="K766" s="2" t="n">
        <v>540</v>
      </c>
      <c r="L766" s="2" t="n">
        <v>120</v>
      </c>
      <c r="M766" s="2" t="n">
        <v>120</v>
      </c>
      <c r="N766" s="2" t="n">
        <v>155</v>
      </c>
      <c r="O766" s="2" t="n">
        <v>10</v>
      </c>
      <c r="P766" s="2" t="n">
        <v>0</v>
      </c>
      <c r="Q766" s="2" t="n">
        <v>2925</v>
      </c>
      <c r="R766" s="2" t="n">
        <v>40725</v>
      </c>
      <c r="S766" s="2" t="n"/>
      <c r="T766" s="2">
        <f>IF(OR(S766="",R766=0),"",ROUND(S766*R766,2))</f>
        <v/>
      </c>
      <c r="U766" s="2" t="inlineStr"/>
    </row>
    <row r="767">
      <c r="A767" s="2" t="inlineStr">
        <is>
          <t>Q</t>
        </is>
      </c>
      <c r="B767" s="2" t="inlineStr">
        <is>
          <t>DOMESTIC COLD AND HOT WATER SYSTEM</t>
        </is>
      </c>
      <c r="C767" s="2" t="inlineStr">
        <is>
          <t>Q</t>
        </is>
      </c>
      <c r="D767" s="2" t="inlineStr">
        <is>
          <t>32mm diameter</t>
        </is>
      </c>
      <c r="E767" s="2" t="inlineStr">
        <is>
          <t>No</t>
        </is>
      </c>
      <c r="F767" s="2" t="n">
        <v>4</v>
      </c>
      <c r="G767" s="2" t="n">
        <v>4</v>
      </c>
      <c r="H767" s="2" t="n">
        <v>6</v>
      </c>
      <c r="I767" s="2" t="n">
        <v>6</v>
      </c>
      <c r="J767" s="2" t="n">
        <v>8</v>
      </c>
      <c r="K767" s="2" t="n">
        <v>8</v>
      </c>
      <c r="L767" s="2" t="n">
        <v>2</v>
      </c>
      <c r="M767" s="2" t="n">
        <v>2</v>
      </c>
      <c r="N767" s="2" t="n">
        <v>0</v>
      </c>
      <c r="O767" s="2" t="n">
        <v>0</v>
      </c>
      <c r="P767" s="2" t="n">
        <v>0</v>
      </c>
      <c r="Q767" s="2" t="n">
        <v>40</v>
      </c>
      <c r="R767" s="2" t="n">
        <v>584</v>
      </c>
      <c r="S767" s="2" t="n"/>
      <c r="T767" s="2">
        <f>IF(OR(S767="",R767=0),"",ROUND(S767*R767,2))</f>
        <v/>
      </c>
      <c r="U767" s="2" t="inlineStr"/>
    </row>
    <row r="768">
      <c r="A768" s="2" t="inlineStr">
        <is>
          <t>Q</t>
        </is>
      </c>
      <c r="B768" s="2" t="inlineStr">
        <is>
          <t>DOMESTIC COLD AND HOT WATER SYSTEM</t>
        </is>
      </c>
      <c r="C768" s="2" t="inlineStr">
        <is>
          <t>R</t>
        </is>
      </c>
      <c r="D768" s="2" t="inlineStr">
        <is>
          <t>40mm diameter</t>
        </is>
      </c>
      <c r="E768" s="2" t="inlineStr">
        <is>
          <t>No</t>
        </is>
      </c>
      <c r="F768" s="2" t="n">
        <v>0</v>
      </c>
      <c r="G768" s="2" t="n">
        <v>0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2</v>
      </c>
      <c r="O768" s="2" t="n">
        <v>0</v>
      </c>
      <c r="P768" s="2" t="n">
        <v>0</v>
      </c>
      <c r="Q768" s="2" t="n">
        <v>2</v>
      </c>
      <c r="R768" s="2" t="n">
        <v>2</v>
      </c>
      <c r="S768" s="2" t="n"/>
      <c r="T768" s="2">
        <f>IF(OR(S768="",R768=0),"",ROUND(S768*R768,2))</f>
        <v/>
      </c>
      <c r="U768" s="2" t="inlineStr"/>
    </row>
    <row r="769">
      <c r="A769" s="2" t="inlineStr">
        <is>
          <t>Q</t>
        </is>
      </c>
      <c r="B769" s="2" t="inlineStr">
        <is>
          <t>DOMESTIC COLD AND HOT WATER SYSTEM</t>
        </is>
      </c>
      <c r="C769" s="2" t="inlineStr">
        <is>
          <t>S</t>
        </is>
      </c>
      <c r="D769" s="2" t="inlineStr">
        <is>
          <t>20mm diameter</t>
        </is>
      </c>
      <c r="E769" s="2" t="inlineStr">
        <is>
          <t>No</t>
        </is>
      </c>
      <c r="F769" s="2" t="n">
        <v>0</v>
      </c>
      <c r="G769" s="2" t="n">
        <v>0</v>
      </c>
      <c r="H769" s="2" t="n">
        <v>0</v>
      </c>
      <c r="I769" s="2" t="n">
        <v>0</v>
      </c>
      <c r="J769" s="2" t="n">
        <v>0</v>
      </c>
      <c r="K769" s="2" t="n">
        <v>0</v>
      </c>
      <c r="L769" s="2" t="n">
        <v>8</v>
      </c>
      <c r="M769" s="2" t="n">
        <v>8</v>
      </c>
      <c r="N769" s="2" t="n">
        <v>0</v>
      </c>
      <c r="O769" s="2" t="n">
        <v>0</v>
      </c>
      <c r="P769" s="2" t="n">
        <v>0</v>
      </c>
      <c r="Q769" s="2" t="n">
        <v>16</v>
      </c>
      <c r="R769" s="2" t="n">
        <v>296</v>
      </c>
      <c r="S769" s="2" t="n"/>
      <c r="T769" s="2">
        <f>IF(OR(S769="",R769=0),"",ROUND(S769*R769,2))</f>
        <v/>
      </c>
      <c r="U769" s="2" t="inlineStr"/>
    </row>
    <row r="770">
      <c r="A770" s="2" t="inlineStr">
        <is>
          <t>Q</t>
        </is>
      </c>
      <c r="B770" s="2" t="inlineStr">
        <is>
          <t>DOMESTIC COLD AND HOT WATER SYSTEM</t>
        </is>
      </c>
      <c r="C770" s="2" t="inlineStr">
        <is>
          <t>T</t>
        </is>
      </c>
      <c r="D770" s="2" t="inlineStr">
        <is>
          <t>20mm diameter</t>
        </is>
      </c>
      <c r="E770" s="2" t="inlineStr">
        <is>
          <t>No</t>
        </is>
      </c>
      <c r="F770" s="2" t="n">
        <v>4</v>
      </c>
      <c r="G770" s="2" t="n">
        <v>4</v>
      </c>
      <c r="H770" s="2" t="n">
        <v>6</v>
      </c>
      <c r="I770" s="2" t="n">
        <v>6</v>
      </c>
      <c r="J770" s="2" t="n">
        <v>8</v>
      </c>
      <c r="K770" s="2" t="n">
        <v>8</v>
      </c>
      <c r="L770" s="2" t="n">
        <v>0</v>
      </c>
      <c r="M770" s="2" t="n">
        <v>0</v>
      </c>
      <c r="N770" s="2" t="n">
        <v>1</v>
      </c>
      <c r="O770" s="2" t="n">
        <v>0</v>
      </c>
      <c r="P770" s="2" t="n">
        <v>0</v>
      </c>
      <c r="Q770" s="2" t="n">
        <v>37</v>
      </c>
      <c r="R770" s="2" t="n">
        <v>511</v>
      </c>
      <c r="S770" s="2" t="n"/>
      <c r="T770" s="2">
        <f>IF(OR(S770="",R770=0),"",ROUND(S770*R770,2))</f>
        <v/>
      </c>
      <c r="U770" s="2" t="inlineStr"/>
    </row>
    <row r="771">
      <c r="A771" s="2" t="inlineStr">
        <is>
          <t>Q</t>
        </is>
      </c>
      <c r="B771" s="2" t="inlineStr">
        <is>
          <t>DOMESTIC COLD AND HOT WATER SYSTEM</t>
        </is>
      </c>
      <c r="C771" s="2" t="inlineStr">
        <is>
          <t>U</t>
        </is>
      </c>
      <c r="D771" s="2" t="inlineStr">
        <is>
          <t>Bibb Tap, 15mm diameter</t>
        </is>
      </c>
      <c r="E771" s="2" t="inlineStr">
        <is>
          <t>No</t>
        </is>
      </c>
      <c r="F771" s="2" t="n">
        <v>12</v>
      </c>
      <c r="G771" s="2" t="n">
        <v>12</v>
      </c>
      <c r="H771" s="2" t="n">
        <v>18</v>
      </c>
      <c r="I771" s="2" t="n">
        <v>18</v>
      </c>
      <c r="J771" s="2" t="n">
        <v>24</v>
      </c>
      <c r="K771" s="2" t="n">
        <v>24</v>
      </c>
      <c r="L771" s="2" t="n">
        <v>3</v>
      </c>
      <c r="M771" s="2" t="n">
        <v>3</v>
      </c>
      <c r="N771" s="2" t="n">
        <v>8</v>
      </c>
      <c r="O771" s="2" t="n">
        <v>2</v>
      </c>
      <c r="P771" s="2" t="n">
        <v>0</v>
      </c>
      <c r="Q771" s="2" t="n">
        <v>124</v>
      </c>
      <c r="R771" s="2" t="n">
        <v>1651</v>
      </c>
      <c r="S771" s="2" t="n"/>
      <c r="T771" s="2">
        <f>IF(OR(S771="",R771=0),"",ROUND(S771*R771,2))</f>
        <v/>
      </c>
      <c r="U771" s="2" t="inlineStr"/>
    </row>
    <row r="772">
      <c r="A772" s="2" t="inlineStr">
        <is>
          <t>Q</t>
        </is>
      </c>
      <c r="B772" s="2" t="inlineStr">
        <is>
          <t>DOMESTIC COLD AND HOT WATER SYSTEM</t>
        </is>
      </c>
      <c r="C772" s="2" t="inlineStr">
        <is>
          <t>V</t>
        </is>
      </c>
      <c r="D772" s="2" t="inlineStr">
        <is>
          <t>Water Hammer Arrestor</t>
        </is>
      </c>
      <c r="E772" s="2" t="inlineStr">
        <is>
          <t>No</t>
        </is>
      </c>
      <c r="F772" s="2" t="n">
        <v>4</v>
      </c>
      <c r="G772" s="2" t="n">
        <v>4</v>
      </c>
      <c r="H772" s="2" t="n">
        <v>6</v>
      </c>
      <c r="I772" s="2" t="n">
        <v>6</v>
      </c>
      <c r="J772" s="2" t="n">
        <v>8</v>
      </c>
      <c r="K772" s="2" t="n">
        <v>8</v>
      </c>
      <c r="L772" s="2" t="n">
        <v>1</v>
      </c>
      <c r="M772" s="2" t="n">
        <v>1</v>
      </c>
      <c r="N772" s="2" t="n">
        <v>1</v>
      </c>
      <c r="O772" s="2" t="n">
        <v>1</v>
      </c>
      <c r="P772" s="2" t="n">
        <v>0</v>
      </c>
      <c r="Q772" s="2" t="n">
        <v>40</v>
      </c>
      <c r="R772" s="2" t="n">
        <v>549</v>
      </c>
      <c r="S772" s="2" t="n"/>
      <c r="T772" s="2">
        <f>IF(OR(S772="",R772=0),"",ROUND(S772*R772,2))</f>
        <v/>
      </c>
      <c r="U772" s="2" t="inlineStr"/>
    </row>
    <row r="773">
      <c r="A773" s="2" t="inlineStr">
        <is>
          <t>Q</t>
        </is>
      </c>
      <c r="B773" s="2" t="inlineStr">
        <is>
          <t>DOMESTIC COLD AND HOT WATER SYSTEM</t>
        </is>
      </c>
      <c r="C773" s="2" t="inlineStr">
        <is>
          <t>W</t>
        </is>
      </c>
      <c r="D773" s="2" t="inlineStr">
        <is>
          <t>Automatic Air Vent</t>
        </is>
      </c>
      <c r="E773" s="2" t="inlineStr">
        <is>
          <t>No</t>
        </is>
      </c>
      <c r="F773" s="2" t="n">
        <v>8</v>
      </c>
      <c r="G773" s="2" t="n">
        <v>8</v>
      </c>
      <c r="H773" s="2" t="n">
        <v>12</v>
      </c>
      <c r="I773" s="2" t="n">
        <v>12</v>
      </c>
      <c r="J773" s="2" t="n">
        <v>16</v>
      </c>
      <c r="K773" s="2" t="n">
        <v>16</v>
      </c>
      <c r="L773" s="2" t="n">
        <v>6</v>
      </c>
      <c r="M773" s="2" t="n">
        <v>6</v>
      </c>
      <c r="N773" s="2" t="n">
        <v>2</v>
      </c>
      <c r="O773" s="2" t="n">
        <v>0</v>
      </c>
      <c r="P773" s="2" t="n">
        <v>0</v>
      </c>
      <c r="Q773" s="2" t="n">
        <v>86</v>
      </c>
      <c r="R773" s="2" t="n">
        <v>1244</v>
      </c>
      <c r="S773" s="2" t="n"/>
      <c r="T773" s="2">
        <f>IF(OR(S773="",R773=0),"",ROUND(S773*R773,2))</f>
        <v/>
      </c>
      <c r="U773" s="2" t="inlineStr"/>
    </row>
    <row r="774">
      <c r="A774" s="2" t="inlineStr">
        <is>
          <t>Q</t>
        </is>
      </c>
      <c r="B774" s="2" t="inlineStr">
        <is>
          <t>DRAINAGE SYSTEM</t>
        </is>
      </c>
      <c r="C774" s="2" t="inlineStr">
        <is>
          <t>A</t>
        </is>
      </c>
      <c r="D774" s="2" t="inlineStr">
        <is>
          <t>40mm diameter</t>
        </is>
      </c>
      <c r="E774" s="2" t="inlineStr">
        <is>
          <t>m</t>
        </is>
      </c>
      <c r="F774" s="2" t="n">
        <v>28</v>
      </c>
      <c r="G774" s="2" t="n">
        <v>28</v>
      </c>
      <c r="H774" s="2" t="n">
        <v>40</v>
      </c>
      <c r="I774" s="2" t="n">
        <v>40</v>
      </c>
      <c r="J774" s="2" t="n">
        <v>52</v>
      </c>
      <c r="K774" s="2" t="n">
        <v>52</v>
      </c>
      <c r="L774" s="2" t="n">
        <v>7</v>
      </c>
      <c r="M774" s="2" t="n">
        <v>7</v>
      </c>
      <c r="N774" s="2" t="n">
        <v>2</v>
      </c>
      <c r="O774" s="2" t="n">
        <v>1</v>
      </c>
      <c r="P774" s="2" t="n">
        <v>0</v>
      </c>
      <c r="Q774" s="2" t="n">
        <v>257</v>
      </c>
      <c r="R774" s="2" t="n">
        <v>3690</v>
      </c>
      <c r="S774" s="2" t="n"/>
      <c r="T774" s="2">
        <f>IF(OR(S774="",R774=0),"",ROUND(S774*R774,2))</f>
        <v/>
      </c>
      <c r="U774" s="2" t="inlineStr"/>
    </row>
    <row r="775">
      <c r="A775" s="2" t="inlineStr">
        <is>
          <t>Q</t>
        </is>
      </c>
      <c r="B775" s="2" t="inlineStr">
        <is>
          <t>DRAINAGE SYSTEM</t>
        </is>
      </c>
      <c r="C775" s="2" t="inlineStr">
        <is>
          <t>A</t>
        </is>
      </c>
      <c r="D775" s="2" t="inlineStr">
        <is>
          <t>82mm diameter</t>
        </is>
      </c>
      <c r="E775" s="2" t="inlineStr">
        <is>
          <t>m</t>
        </is>
      </c>
      <c r="F775" s="2" t="n">
        <v>0</v>
      </c>
      <c r="G775" s="2" t="n">
        <v>0</v>
      </c>
      <c r="H775" s="2" t="n">
        <v>0</v>
      </c>
      <c r="I775" s="2" t="n">
        <v>0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23</v>
      </c>
      <c r="O775" s="2" t="n">
        <v>0</v>
      </c>
      <c r="P775" s="2" t="n">
        <v>0</v>
      </c>
      <c r="Q775" s="2" t="n">
        <v>23</v>
      </c>
      <c r="R775" s="2" t="n">
        <v>23</v>
      </c>
      <c r="S775" s="2" t="n"/>
      <c r="T775" s="2">
        <f>IF(OR(S775="",R775=0),"",ROUND(S775*R775,2))</f>
        <v/>
      </c>
      <c r="U775" s="2" t="inlineStr"/>
    </row>
    <row r="776">
      <c r="A776" s="2" t="inlineStr">
        <is>
          <t>Q</t>
        </is>
      </c>
      <c r="B776" s="2" t="inlineStr">
        <is>
          <t>DRAINAGE SYSTEM</t>
        </is>
      </c>
      <c r="C776" s="2" t="inlineStr">
        <is>
          <t>A</t>
        </is>
      </c>
      <c r="D776" s="2" t="inlineStr">
        <is>
          <t>Final Inspection Chamber, (Ref. FIC)</t>
        </is>
      </c>
      <c r="E776" s="2" t="inlineStr">
        <is>
          <t>No</t>
        </is>
      </c>
      <c r="F776" s="2" t="n">
        <v>4</v>
      </c>
      <c r="G776" s="2" t="n">
        <v>4</v>
      </c>
      <c r="H776" s="2" t="n">
        <v>6</v>
      </c>
      <c r="I776" s="2" t="n">
        <v>6</v>
      </c>
      <c r="J776" s="2" t="n">
        <v>8</v>
      </c>
      <c r="K776" s="2" t="n">
        <v>8</v>
      </c>
      <c r="L776" s="2" t="n">
        <v>1</v>
      </c>
      <c r="M776" s="2" t="n">
        <v>1</v>
      </c>
      <c r="N776" s="2" t="n">
        <v>0</v>
      </c>
      <c r="O776" s="2" t="n">
        <v>0</v>
      </c>
      <c r="P776" s="2" t="n">
        <v>0</v>
      </c>
      <c r="Q776" s="2" t="n">
        <v>38</v>
      </c>
      <c r="R776" s="2" t="n">
        <v>547</v>
      </c>
      <c r="S776" s="2" t="n"/>
      <c r="T776" s="2">
        <f>IF(OR(S776="",R776=0),"",ROUND(S776*R776,2))</f>
        <v/>
      </c>
      <c r="U776" s="2" t="inlineStr"/>
    </row>
    <row r="777">
      <c r="A777" s="2" t="inlineStr">
        <is>
          <t>Q</t>
        </is>
      </c>
      <c r="B777" s="2" t="inlineStr">
        <is>
          <t>DRAINAGE SYSTEM</t>
        </is>
      </c>
      <c r="C777" s="2" t="inlineStr">
        <is>
          <t>A</t>
        </is>
      </c>
      <c r="D777" s="2" t="inlineStr">
        <is>
          <t>SW-100, Touchless Basin Mixer</t>
        </is>
      </c>
      <c r="E777" s="2" t="inlineStr">
        <is>
          <t>No</t>
        </is>
      </c>
      <c r="F777" s="2" t="n">
        <v>0</v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6</v>
      </c>
      <c r="O777" s="2" t="n">
        <v>0</v>
      </c>
      <c r="P777" s="2" t="n">
        <v>0</v>
      </c>
      <c r="Q777" s="2" t="n">
        <v>6</v>
      </c>
      <c r="R777" s="2" t="n">
        <v>6</v>
      </c>
      <c r="S777" s="2" t="n"/>
      <c r="T777" s="2">
        <f>IF(OR(S777="",R777=0),"",ROUND(S777*R777,2))</f>
        <v/>
      </c>
      <c r="U777" s="2" t="inlineStr"/>
    </row>
    <row r="778">
      <c r="A778" s="2" t="inlineStr">
        <is>
          <t>Q</t>
        </is>
      </c>
      <c r="B778" s="2" t="inlineStr">
        <is>
          <t>DRAINAGE SYSTEM</t>
        </is>
      </c>
      <c r="C778" s="2" t="inlineStr">
        <is>
          <t>B</t>
        </is>
      </c>
      <c r="D778" s="2" t="inlineStr">
        <is>
          <t>50mm diameter</t>
        </is>
      </c>
      <c r="E778" s="2" t="inlineStr">
        <is>
          <t>m</t>
        </is>
      </c>
      <c r="F778" s="2" t="n">
        <v>52</v>
      </c>
      <c r="G778" s="2" t="n">
        <v>52</v>
      </c>
      <c r="H778" s="2" t="n">
        <v>77</v>
      </c>
      <c r="I778" s="2" t="n">
        <v>77</v>
      </c>
      <c r="J778" s="2" t="n">
        <v>102</v>
      </c>
      <c r="K778" s="2" t="n">
        <v>102</v>
      </c>
      <c r="L778" s="2" t="n">
        <v>16</v>
      </c>
      <c r="M778" s="2" t="n">
        <v>16</v>
      </c>
      <c r="N778" s="2" t="n">
        <v>4</v>
      </c>
      <c r="O778" s="2" t="n">
        <v>0</v>
      </c>
      <c r="P778" s="2" t="n">
        <v>0</v>
      </c>
      <c r="Q778" s="2" t="n">
        <v>498</v>
      </c>
      <c r="R778" s="2" t="n">
        <v>7155</v>
      </c>
      <c r="S778" s="2" t="n"/>
      <c r="T778" s="2">
        <f>IF(OR(S778="",R778=0),"",ROUND(S778*R778,2))</f>
        <v/>
      </c>
      <c r="U778" s="2" t="inlineStr"/>
    </row>
    <row r="779">
      <c r="A779" s="2" t="inlineStr">
        <is>
          <t>Q</t>
        </is>
      </c>
      <c r="B779" s="2" t="inlineStr">
        <is>
          <t>DRAINAGE SYSTEM</t>
        </is>
      </c>
      <c r="C779" s="2" t="inlineStr">
        <is>
          <t>B</t>
        </is>
      </c>
      <c r="D779" s="2" t="inlineStr">
        <is>
          <t>for 40mm diameter pipe</t>
        </is>
      </c>
      <c r="E779" s="2" t="inlineStr">
        <is>
          <t>m</t>
        </is>
      </c>
      <c r="F779" s="2" t="n">
        <v>27</v>
      </c>
      <c r="G779" s="2" t="n">
        <v>27</v>
      </c>
      <c r="H779" s="2" t="n">
        <v>34</v>
      </c>
      <c r="I779" s="2" t="n">
        <v>34</v>
      </c>
      <c r="J779" s="2" t="n">
        <v>40</v>
      </c>
      <c r="K779" s="2" t="n">
        <v>40</v>
      </c>
      <c r="L779" s="2" t="n">
        <v>16</v>
      </c>
      <c r="M779" s="2" t="n">
        <v>16</v>
      </c>
      <c r="N779" s="2" t="n">
        <v>0</v>
      </c>
      <c r="O779" s="2" t="n">
        <v>0</v>
      </c>
      <c r="P779" s="2" t="n">
        <v>0</v>
      </c>
      <c r="Q779" s="2" t="n">
        <v>234</v>
      </c>
      <c r="R779" s="2" t="n">
        <v>3557</v>
      </c>
      <c r="S779" s="2" t="n"/>
      <c r="T779" s="2">
        <f>IF(OR(S779="",R779=0),"",ROUND(S779*R779,2))</f>
        <v/>
      </c>
      <c r="U779" s="2" t="inlineStr"/>
    </row>
    <row r="780">
      <c r="A780" s="2" t="inlineStr">
        <is>
          <t>Q</t>
        </is>
      </c>
      <c r="B780" s="2" t="inlineStr">
        <is>
          <t>DRAINAGE SYSTEM</t>
        </is>
      </c>
      <c r="C780" s="2" t="inlineStr">
        <is>
          <t>B</t>
        </is>
      </c>
      <c r="D780" s="2" t="inlineStr">
        <is>
          <t>Dry Gully Trap, Ref. GT</t>
        </is>
      </c>
      <c r="E780" s="2" t="inlineStr">
        <is>
          <t>No</t>
        </is>
      </c>
      <c r="F780" s="2" t="n">
        <v>4</v>
      </c>
      <c r="G780" s="2" t="n">
        <v>4</v>
      </c>
      <c r="H780" s="2" t="n">
        <v>6</v>
      </c>
      <c r="I780" s="2" t="n">
        <v>6</v>
      </c>
      <c r="J780" s="2" t="n">
        <v>8</v>
      </c>
      <c r="K780" s="2" t="n">
        <v>8</v>
      </c>
      <c r="L780" s="2" t="n">
        <v>1</v>
      </c>
      <c r="M780" s="2" t="n">
        <v>1</v>
      </c>
      <c r="N780" s="2" t="n">
        <v>0</v>
      </c>
      <c r="O780" s="2" t="n">
        <v>0</v>
      </c>
      <c r="P780" s="2" t="n">
        <v>0</v>
      </c>
      <c r="Q780" s="2" t="n">
        <v>38</v>
      </c>
      <c r="R780" s="2" t="n">
        <v>547</v>
      </c>
      <c r="S780" s="2" t="n"/>
      <c r="T780" s="2">
        <f>IF(OR(S780="",R780=0),"",ROUND(S780*R780,2))</f>
        <v/>
      </c>
      <c r="U780" s="2" t="inlineStr"/>
    </row>
    <row r="781">
      <c r="A781" s="2" t="inlineStr">
        <is>
          <t>Q</t>
        </is>
      </c>
      <c r="B781" s="2" t="inlineStr">
        <is>
          <t>DRAINAGE SYSTEM</t>
        </is>
      </c>
      <c r="C781" s="2" t="inlineStr">
        <is>
          <t>B</t>
        </is>
      </c>
      <c r="D781" s="2" t="inlineStr">
        <is>
          <t>SW-101, Basin Mixer</t>
        </is>
      </c>
      <c r="E781" s="2" t="inlineStr">
        <is>
          <t>No</t>
        </is>
      </c>
      <c r="F781" s="2" t="n">
        <v>0</v>
      </c>
      <c r="G781" s="2" t="n">
        <v>0</v>
      </c>
      <c r="H781" s="2" t="n">
        <v>0</v>
      </c>
      <c r="I781" s="2" t="n">
        <v>0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1</v>
      </c>
      <c r="O781" s="2" t="n">
        <v>0</v>
      </c>
      <c r="P781" s="2" t="n">
        <v>0</v>
      </c>
      <c r="Q781" s="2" t="n">
        <v>1</v>
      </c>
      <c r="R781" s="2" t="n">
        <v>1</v>
      </c>
      <c r="S781" s="2" t="n"/>
      <c r="T781" s="2">
        <f>IF(OR(S781="",R781=0),"",ROUND(S781*R781,2))</f>
        <v/>
      </c>
      <c r="U781" s="2" t="inlineStr"/>
    </row>
    <row r="782">
      <c r="A782" s="2" t="inlineStr">
        <is>
          <t>Q</t>
        </is>
      </c>
      <c r="B782" s="2" t="inlineStr">
        <is>
          <t>DRAINAGE SYSTEM</t>
        </is>
      </c>
      <c r="C782" s="2" t="inlineStr">
        <is>
          <t>B</t>
        </is>
      </c>
      <c r="D782" s="2" t="inlineStr">
        <is>
          <t>SW-102, Water Closet (Floor Standing)</t>
        </is>
      </c>
      <c r="E782" s="2" t="inlineStr">
        <is>
          <t>No</t>
        </is>
      </c>
      <c r="F782" s="2" t="n">
        <v>0</v>
      </c>
      <c r="G782" s="2" t="n">
        <v>0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1</v>
      </c>
      <c r="O782" s="2" t="n">
        <v>0</v>
      </c>
      <c r="P782" s="2" t="n">
        <v>0</v>
      </c>
      <c r="Q782" s="2" t="n">
        <v>1</v>
      </c>
      <c r="R782" s="2" t="n">
        <v>1</v>
      </c>
      <c r="S782" s="2" t="n"/>
      <c r="T782" s="2">
        <f>IF(OR(S782="",R782=0),"",ROUND(S782*R782,2))</f>
        <v/>
      </c>
      <c r="U782" s="2" t="inlineStr"/>
    </row>
    <row r="783">
      <c r="A783" s="2" t="inlineStr">
        <is>
          <t>Q</t>
        </is>
      </c>
      <c r="B783" s="2" t="inlineStr">
        <is>
          <t>DRAINAGE SYSTEM</t>
        </is>
      </c>
      <c r="C783" s="2" t="inlineStr">
        <is>
          <t>C</t>
        </is>
      </c>
      <c r="D783" s="2" t="inlineStr">
        <is>
          <t>82mm diameter</t>
        </is>
      </c>
      <c r="E783" s="2" t="inlineStr">
        <is>
          <t>m</t>
        </is>
      </c>
      <c r="F783" s="2" t="n">
        <v>73</v>
      </c>
      <c r="G783" s="2" t="n">
        <v>73</v>
      </c>
      <c r="H783" s="2" t="n">
        <v>104</v>
      </c>
      <c r="I783" s="2" t="n">
        <v>104</v>
      </c>
      <c r="J783" s="2" t="n">
        <v>135</v>
      </c>
      <c r="K783" s="2" t="n">
        <v>135</v>
      </c>
      <c r="L783" s="2" t="n">
        <v>36</v>
      </c>
      <c r="M783" s="2" t="n">
        <v>36</v>
      </c>
      <c r="N783" s="2" t="n">
        <v>30</v>
      </c>
      <c r="O783" s="2" t="n">
        <v>5</v>
      </c>
      <c r="P783" s="2" t="n">
        <v>0</v>
      </c>
      <c r="Q783" s="2" t="n">
        <v>731</v>
      </c>
      <c r="R783" s="2" t="n">
        <v>10284</v>
      </c>
      <c r="S783" s="2" t="n"/>
      <c r="T783" s="2">
        <f>IF(OR(S783="",R783=0),"",ROUND(S783*R783,2))</f>
        <v/>
      </c>
      <c r="U783" s="2" t="inlineStr"/>
    </row>
    <row r="784">
      <c r="A784" s="2" t="inlineStr">
        <is>
          <t>Q</t>
        </is>
      </c>
      <c r="B784" s="2" t="inlineStr">
        <is>
          <t>DRAINAGE SYSTEM</t>
        </is>
      </c>
      <c r="C784" s="2" t="inlineStr">
        <is>
          <t>C</t>
        </is>
      </c>
      <c r="D784" s="2" t="inlineStr">
        <is>
          <t>for 82mm diameter pipe</t>
        </is>
      </c>
      <c r="E784" s="2" t="inlineStr">
        <is>
          <t>m</t>
        </is>
      </c>
      <c r="F784" s="2" t="n">
        <v>14</v>
      </c>
      <c r="G784" s="2" t="n">
        <v>14</v>
      </c>
      <c r="H784" s="2" t="n">
        <v>18</v>
      </c>
      <c r="I784" s="2" t="n">
        <v>18</v>
      </c>
      <c r="J784" s="2" t="n">
        <v>21</v>
      </c>
      <c r="K784" s="2" t="n">
        <v>21</v>
      </c>
      <c r="L784" s="2" t="n">
        <v>8</v>
      </c>
      <c r="M784" s="2" t="n">
        <v>8</v>
      </c>
      <c r="N784" s="2" t="n">
        <v>0</v>
      </c>
      <c r="O784" s="2" t="n">
        <v>0</v>
      </c>
      <c r="P784" s="2" t="n">
        <v>0</v>
      </c>
      <c r="Q784" s="2" t="n">
        <v>122</v>
      </c>
      <c r="R784" s="2" t="n">
        <v>1852</v>
      </c>
      <c r="S784" s="2" t="n"/>
      <c r="T784" s="2">
        <f>IF(OR(S784="",R784=0),"",ROUND(S784*R784,2))</f>
        <v/>
      </c>
      <c r="U784" s="2" t="inlineStr"/>
    </row>
    <row r="785">
      <c r="A785" s="2" t="inlineStr">
        <is>
          <t>Q</t>
        </is>
      </c>
      <c r="B785" s="2" t="inlineStr">
        <is>
          <t>DRAINAGE SYSTEM</t>
        </is>
      </c>
      <c r="C785" s="2" t="inlineStr">
        <is>
          <t>C</t>
        </is>
      </c>
      <c r="D785" s="2" t="inlineStr">
        <is>
          <t>Cleanout Chamber</t>
        </is>
      </c>
      <c r="E785" s="2" t="inlineStr">
        <is>
          <t>No</t>
        </is>
      </c>
      <c r="F785" s="2" t="n">
        <v>4</v>
      </c>
      <c r="G785" s="2" t="n">
        <v>4</v>
      </c>
      <c r="H785" s="2" t="n">
        <v>6</v>
      </c>
      <c r="I785" s="2" t="n">
        <v>6</v>
      </c>
      <c r="J785" s="2" t="n">
        <v>8</v>
      </c>
      <c r="K785" s="2" t="n">
        <v>8</v>
      </c>
      <c r="L785" s="2" t="n">
        <v>1</v>
      </c>
      <c r="M785" s="2" t="n">
        <v>1</v>
      </c>
      <c r="N785" s="2" t="n">
        <v>1</v>
      </c>
      <c r="O785" s="2" t="n">
        <v>0</v>
      </c>
      <c r="P785" s="2" t="n">
        <v>0</v>
      </c>
      <c r="Q785" s="2" t="n">
        <v>39</v>
      </c>
      <c r="R785" s="2" t="n">
        <v>548</v>
      </c>
      <c r="S785" s="2" t="n"/>
      <c r="T785" s="2">
        <f>IF(OR(S785="",R785=0),"",ROUND(S785*R785,2))</f>
        <v/>
      </c>
      <c r="U785" s="2" t="inlineStr"/>
    </row>
    <row r="786">
      <c r="A786" s="2" t="inlineStr">
        <is>
          <t>Q</t>
        </is>
      </c>
      <c r="B786" s="2" t="inlineStr">
        <is>
          <t>DRAINAGE SYSTEM</t>
        </is>
      </c>
      <c r="C786" s="2" t="inlineStr">
        <is>
          <t>C</t>
        </is>
      </c>
      <c r="D786" s="2" t="inlineStr">
        <is>
          <t>SW-102, Bidet Spray</t>
        </is>
      </c>
      <c r="E786" s="2" t="inlineStr">
        <is>
          <t>No</t>
        </is>
      </c>
      <c r="F786" s="2" t="n">
        <v>18</v>
      </c>
      <c r="G786" s="2" t="n">
        <v>18</v>
      </c>
      <c r="H786" s="2" t="n">
        <v>26</v>
      </c>
      <c r="I786" s="2" t="n">
        <v>26</v>
      </c>
      <c r="J786" s="2" t="n">
        <v>34</v>
      </c>
      <c r="K786" s="2" t="n">
        <v>34</v>
      </c>
      <c r="L786" s="2" t="n">
        <v>7</v>
      </c>
      <c r="M786" s="2" t="n">
        <v>7</v>
      </c>
      <c r="N786" s="2" t="n">
        <v>0</v>
      </c>
      <c r="O786" s="2" t="n">
        <v>0</v>
      </c>
      <c r="P786" s="2" t="n">
        <v>0</v>
      </c>
      <c r="Q786" s="2" t="n">
        <v>170</v>
      </c>
      <c r="R786" s="2" t="n">
        <v>2483</v>
      </c>
      <c r="S786" s="2" t="n"/>
      <c r="T786" s="2">
        <f>IF(OR(S786="",R786=0),"",ROUND(S786*R786,2))</f>
        <v/>
      </c>
      <c r="U786" s="2" t="inlineStr"/>
    </row>
    <row r="787">
      <c r="A787" s="2" t="inlineStr">
        <is>
          <t>Q</t>
        </is>
      </c>
      <c r="B787" s="2" t="inlineStr">
        <is>
          <t>DRAINAGE SYSTEM</t>
        </is>
      </c>
      <c r="C787" s="2" t="inlineStr">
        <is>
          <t>C</t>
        </is>
      </c>
      <c r="D787" s="2" t="inlineStr">
        <is>
          <t>KW-101.1, Drip Tray</t>
        </is>
      </c>
      <c r="E787" s="2" t="inlineStr">
        <is>
          <t>No</t>
        </is>
      </c>
      <c r="F787" s="2" t="n">
        <v>4</v>
      </c>
      <c r="G787" s="2" t="n">
        <v>4</v>
      </c>
      <c r="H787" s="2" t="n">
        <v>6</v>
      </c>
      <c r="I787" s="2" t="n">
        <v>6</v>
      </c>
      <c r="J787" s="2" t="n">
        <v>8</v>
      </c>
      <c r="K787" s="2" t="n">
        <v>8</v>
      </c>
      <c r="L787" s="2" t="n">
        <v>1</v>
      </c>
      <c r="M787" s="2" t="n">
        <v>1</v>
      </c>
      <c r="N787" s="2" t="n">
        <v>0</v>
      </c>
      <c r="O787" s="2" t="n">
        <v>0</v>
      </c>
      <c r="P787" s="2" t="n">
        <v>0</v>
      </c>
      <c r="Q787" s="2" t="n">
        <v>38</v>
      </c>
      <c r="R787" s="2" t="n">
        <v>547</v>
      </c>
      <c r="S787" s="2" t="n"/>
      <c r="T787" s="2">
        <f>IF(OR(S787="",R787=0),"",ROUND(S787*R787,2))</f>
        <v/>
      </c>
      <c r="U787" s="2" t="inlineStr"/>
    </row>
    <row r="788">
      <c r="A788" s="2" t="inlineStr">
        <is>
          <t>Q</t>
        </is>
      </c>
      <c r="B788" s="2" t="inlineStr">
        <is>
          <t>DRAINAGE SYSTEM</t>
        </is>
      </c>
      <c r="C788" s="2" t="inlineStr">
        <is>
          <t>C</t>
        </is>
      </c>
      <c r="D788" s="2" t="inlineStr">
        <is>
          <t>SW-102, Bidet Spray</t>
        </is>
      </c>
      <c r="E788" s="2" t="inlineStr">
        <is>
          <t>No</t>
        </is>
      </c>
      <c r="F788" s="2" t="n">
        <v>0</v>
      </c>
      <c r="G788" s="2" t="n">
        <v>0</v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6</v>
      </c>
      <c r="O788" s="2" t="n">
        <v>0</v>
      </c>
      <c r="P788" s="2" t="n">
        <v>0</v>
      </c>
      <c r="Q788" s="2" t="n">
        <v>6</v>
      </c>
      <c r="R788" s="2" t="n">
        <v>6</v>
      </c>
      <c r="S788" s="2" t="n"/>
      <c r="T788" s="2">
        <f>IF(OR(S788="",R788=0),"",ROUND(S788*R788,2))</f>
        <v/>
      </c>
      <c r="U788" s="2" t="inlineStr"/>
    </row>
    <row r="789">
      <c r="A789" s="2" t="inlineStr">
        <is>
          <t>Q</t>
        </is>
      </c>
      <c r="B789" s="2" t="inlineStr">
        <is>
          <t>DRAINAGE SYSTEM</t>
        </is>
      </c>
      <c r="C789" s="2" t="inlineStr">
        <is>
          <t>D</t>
        </is>
      </c>
      <c r="D789" s="2" t="inlineStr">
        <is>
          <t>110mm diameter</t>
        </is>
      </c>
      <c r="E789" s="2" t="inlineStr">
        <is>
          <t>m</t>
        </is>
      </c>
      <c r="F789" s="2" t="n">
        <v>166</v>
      </c>
      <c r="G789" s="2" t="n">
        <v>166</v>
      </c>
      <c r="H789" s="2" t="n">
        <v>228</v>
      </c>
      <c r="I789" s="2" t="n">
        <v>228</v>
      </c>
      <c r="J789" s="2" t="n">
        <v>290</v>
      </c>
      <c r="K789" s="2" t="n">
        <v>290</v>
      </c>
      <c r="L789" s="2" t="n">
        <v>61</v>
      </c>
      <c r="M789" s="2" t="n">
        <v>61</v>
      </c>
      <c r="N789" s="2" t="n">
        <v>142</v>
      </c>
      <c r="O789" s="2" t="n">
        <v>3</v>
      </c>
      <c r="P789" s="2" t="n">
        <v>0</v>
      </c>
      <c r="Q789" s="2" t="n">
        <v>1635</v>
      </c>
      <c r="R789" s="2" t="n">
        <v>22076</v>
      </c>
      <c r="S789" s="2" t="n"/>
      <c r="T789" s="2">
        <f>IF(OR(S789="",R789=0),"",ROUND(S789*R789,2))</f>
        <v/>
      </c>
      <c r="U789" s="2" t="inlineStr"/>
    </row>
    <row r="790">
      <c r="A790" s="2" t="inlineStr">
        <is>
          <t>Q</t>
        </is>
      </c>
      <c r="B790" s="2" t="inlineStr">
        <is>
          <t>DRAINAGE SYSTEM</t>
        </is>
      </c>
      <c r="C790" s="2" t="inlineStr">
        <is>
          <t>D</t>
        </is>
      </c>
      <c r="D790" s="2" t="inlineStr">
        <is>
          <t>for 110mm diameter pipe</t>
        </is>
      </c>
      <c r="E790" s="2" t="inlineStr">
        <is>
          <t>m</t>
        </is>
      </c>
      <c r="F790" s="2" t="n">
        <v>105</v>
      </c>
      <c r="G790" s="2" t="n">
        <v>105</v>
      </c>
      <c r="H790" s="2" t="n">
        <v>153</v>
      </c>
      <c r="I790" s="2" t="n">
        <v>153</v>
      </c>
      <c r="J790" s="2" t="n">
        <v>200</v>
      </c>
      <c r="K790" s="2" t="n">
        <v>200</v>
      </c>
      <c r="L790" s="2" t="n">
        <v>39</v>
      </c>
      <c r="M790" s="2" t="n">
        <v>39</v>
      </c>
      <c r="N790" s="2" t="n">
        <v>0</v>
      </c>
      <c r="O790" s="2" t="n">
        <v>0</v>
      </c>
      <c r="P790" s="2" t="n">
        <v>0</v>
      </c>
      <c r="Q790" s="2" t="n">
        <v>994</v>
      </c>
      <c r="R790" s="2" t="n">
        <v>14495</v>
      </c>
      <c r="S790" s="2" t="n"/>
      <c r="T790" s="2">
        <f>IF(OR(S790="",R790=0),"",ROUND(S790*R790,2))</f>
        <v/>
      </c>
      <c r="U790" s="2" t="inlineStr"/>
    </row>
    <row r="791">
      <c r="A791" s="2" t="inlineStr">
        <is>
          <t>Q</t>
        </is>
      </c>
      <c r="B791" s="2" t="inlineStr">
        <is>
          <t>DRAINAGE SYSTEM</t>
        </is>
      </c>
      <c r="C791" s="2" t="inlineStr">
        <is>
          <t>D</t>
        </is>
      </c>
      <c r="D791" s="2" t="inlineStr">
        <is>
          <t>Pit (for Future Provision)</t>
        </is>
      </c>
      <c r="E791" s="2" t="inlineStr">
        <is>
          <t>No</t>
        </is>
      </c>
      <c r="F791" s="2" t="n">
        <v>0</v>
      </c>
      <c r="G791" s="2" t="n">
        <v>0</v>
      </c>
      <c r="H791" s="2" t="n">
        <v>0</v>
      </c>
      <c r="I791" s="2" t="n">
        <v>0</v>
      </c>
      <c r="J791" s="2" t="n">
        <v>0</v>
      </c>
      <c r="K791" s="2" t="n">
        <v>0</v>
      </c>
      <c r="L791" s="2" t="n">
        <v>1</v>
      </c>
      <c r="M791" s="2" t="n">
        <v>1</v>
      </c>
      <c r="N791" s="2" t="n">
        <v>0</v>
      </c>
      <c r="O791" s="2" t="n">
        <v>0</v>
      </c>
      <c r="P791" s="2" t="n">
        <v>0</v>
      </c>
      <c r="Q791" s="2" t="n">
        <v>2</v>
      </c>
      <c r="R791" s="2" t="n">
        <v>37</v>
      </c>
      <c r="S791" s="2" t="n"/>
      <c r="T791" s="2">
        <f>IF(OR(S791="",R791=0),"",ROUND(S791*R791,2))</f>
        <v/>
      </c>
      <c r="U791" s="2" t="inlineStr"/>
    </row>
    <row r="792">
      <c r="A792" s="2" t="inlineStr">
        <is>
          <t>Q</t>
        </is>
      </c>
      <c r="B792" s="2" t="inlineStr">
        <is>
          <t>DRAINAGE SYSTEM</t>
        </is>
      </c>
      <c r="C792" s="2" t="inlineStr">
        <is>
          <t>D</t>
        </is>
      </c>
      <c r="D792" s="2" t="inlineStr">
        <is>
          <t>KW-101.1, Bottle Trap</t>
        </is>
      </c>
      <c r="E792" s="2" t="inlineStr">
        <is>
          <t>No</t>
        </is>
      </c>
      <c r="F792" s="2" t="n">
        <v>4</v>
      </c>
      <c r="G792" s="2" t="n">
        <v>4</v>
      </c>
      <c r="H792" s="2" t="n">
        <v>6</v>
      </c>
      <c r="I792" s="2" t="n">
        <v>6</v>
      </c>
      <c r="J792" s="2" t="n">
        <v>8</v>
      </c>
      <c r="K792" s="2" t="n">
        <v>8</v>
      </c>
      <c r="L792" s="2" t="n">
        <v>1</v>
      </c>
      <c r="M792" s="2" t="n">
        <v>1</v>
      </c>
      <c r="N792" s="2" t="n">
        <v>0</v>
      </c>
      <c r="O792" s="2" t="n">
        <v>0</v>
      </c>
      <c r="P792" s="2" t="n">
        <v>0</v>
      </c>
      <c r="Q792" s="2" t="n">
        <v>38</v>
      </c>
      <c r="R792" s="2" t="n">
        <v>547</v>
      </c>
      <c r="S792" s="2" t="n"/>
      <c r="T792" s="2">
        <f>IF(OR(S792="",R792=0),"",ROUND(S792*R792,2))</f>
        <v/>
      </c>
      <c r="U792" s="2" t="inlineStr"/>
    </row>
    <row r="793">
      <c r="A793" s="2" t="inlineStr">
        <is>
          <t>Q</t>
        </is>
      </c>
      <c r="B793" s="2" t="inlineStr">
        <is>
          <t>DRAINAGE SYSTEM</t>
        </is>
      </c>
      <c r="C793" s="2" t="inlineStr">
        <is>
          <t>D</t>
        </is>
      </c>
      <c r="D793" s="2" t="inlineStr">
        <is>
          <t>SW-104, Bidet Spray</t>
        </is>
      </c>
      <c r="E793" s="2" t="inlineStr">
        <is>
          <t>No</t>
        </is>
      </c>
      <c r="F793" s="2" t="n">
        <v>0</v>
      </c>
      <c r="G793" s="2" t="n">
        <v>0</v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1</v>
      </c>
      <c r="O793" s="2" t="n">
        <v>0</v>
      </c>
      <c r="P793" s="2" t="n">
        <v>0</v>
      </c>
      <c r="Q793" s="2" t="n">
        <v>1</v>
      </c>
      <c r="R793" s="2" t="n">
        <v>1</v>
      </c>
      <c r="S793" s="2" t="n"/>
      <c r="T793" s="2">
        <f>IF(OR(S793="",R793=0),"",ROUND(S793*R793,2))</f>
        <v/>
      </c>
      <c r="U793" s="2" t="inlineStr"/>
    </row>
    <row r="794">
      <c r="A794" s="2" t="inlineStr">
        <is>
          <t>Q</t>
        </is>
      </c>
      <c r="B794" s="2" t="inlineStr">
        <is>
          <t>DRAINAGE SYSTEM</t>
        </is>
      </c>
      <c r="C794" s="2" t="inlineStr">
        <is>
          <t>E</t>
        </is>
      </c>
      <c r="D794" s="2" t="inlineStr">
        <is>
          <t>160mm diameter</t>
        </is>
      </c>
      <c r="E794" s="2" t="inlineStr">
        <is>
          <t>m</t>
        </is>
      </c>
      <c r="F794" s="2" t="n">
        <v>10</v>
      </c>
      <c r="G794" s="2" t="n">
        <v>10</v>
      </c>
      <c r="H794" s="2" t="n">
        <v>15</v>
      </c>
      <c r="I794" s="2" t="n">
        <v>15</v>
      </c>
      <c r="J794" s="2" t="n">
        <v>20</v>
      </c>
      <c r="K794" s="2" t="n">
        <v>20</v>
      </c>
      <c r="L794" s="2" t="n">
        <v>3</v>
      </c>
      <c r="M794" s="2" t="n">
        <v>3</v>
      </c>
      <c r="N794" s="2" t="n">
        <v>83</v>
      </c>
      <c r="O794" s="2" t="n">
        <v>2</v>
      </c>
      <c r="P794" s="2" t="n">
        <v>0</v>
      </c>
      <c r="Q794" s="2" t="n">
        <v>181</v>
      </c>
      <c r="R794" s="2" t="n">
        <v>1471</v>
      </c>
      <c r="S794" s="2" t="n"/>
      <c r="T794" s="2">
        <f>IF(OR(S794="",R794=0),"",ROUND(S794*R794,2))</f>
        <v/>
      </c>
      <c r="U794" s="2" t="inlineStr"/>
    </row>
    <row r="795">
      <c r="A795" s="2" t="inlineStr">
        <is>
          <t>Q</t>
        </is>
      </c>
      <c r="B795" s="2" t="inlineStr">
        <is>
          <t>DRAINAGE SYSTEM</t>
        </is>
      </c>
      <c r="C795" s="2" t="inlineStr">
        <is>
          <t>E</t>
        </is>
      </c>
      <c r="D795" s="2" t="inlineStr">
        <is>
          <t>Manhole, (Ref. MH-01), 0.9m depth</t>
        </is>
      </c>
      <c r="E795" s="2" t="inlineStr">
        <is>
          <t>No</t>
        </is>
      </c>
      <c r="F795" s="2" t="n">
        <v>0</v>
      </c>
      <c r="G795" s="2" t="n">
        <v>0</v>
      </c>
      <c r="H795" s="2" t="n">
        <v>0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  <c r="N795" s="2" t="n">
        <v>0</v>
      </c>
      <c r="O795" s="2" t="n">
        <v>1</v>
      </c>
      <c r="P795" s="2" t="n">
        <v>0</v>
      </c>
      <c r="Q795" s="2" t="n">
        <v>1</v>
      </c>
      <c r="R795" s="2" t="n">
        <v>1</v>
      </c>
      <c r="S795" s="2" t="n"/>
      <c r="T795" s="2">
        <f>IF(OR(S795="",R795=0),"",ROUND(S795*R795,2))</f>
        <v/>
      </c>
      <c r="U795" s="2" t="inlineStr"/>
    </row>
    <row r="796">
      <c r="A796" s="2" t="inlineStr">
        <is>
          <t>Q</t>
        </is>
      </c>
      <c r="B796" s="2" t="inlineStr">
        <is>
          <t>DRAINAGE SYSTEM</t>
        </is>
      </c>
      <c r="C796" s="2" t="inlineStr">
        <is>
          <t>F</t>
        </is>
      </c>
      <c r="D796" s="2" t="inlineStr">
        <is>
          <t>Allow Drainage Connection to External Network</t>
        </is>
      </c>
      <c r="E796" s="2" t="inlineStr">
        <is>
          <t>Item</t>
        </is>
      </c>
      <c r="F796" s="2" t="n">
        <v>1</v>
      </c>
      <c r="G796" s="2" t="n">
        <v>1</v>
      </c>
      <c r="H796" s="2" t="n">
        <v>1</v>
      </c>
      <c r="I796" s="2" t="n">
        <v>1</v>
      </c>
      <c r="J796" s="2" t="n">
        <v>1</v>
      </c>
      <c r="K796" s="2" t="n">
        <v>1</v>
      </c>
      <c r="L796" s="2" t="n">
        <v>1</v>
      </c>
      <c r="M796" s="2" t="n">
        <v>1</v>
      </c>
      <c r="N796" s="2" t="n">
        <v>1</v>
      </c>
      <c r="O796" s="2" t="n">
        <v>1</v>
      </c>
      <c r="P796" s="2" t="n">
        <v>0</v>
      </c>
      <c r="Q796" s="2" t="n">
        <v>10</v>
      </c>
      <c r="R796" s="2" t="n">
        <v>131</v>
      </c>
      <c r="S796" s="2" t="n"/>
      <c r="T796" s="2">
        <f>IF(OR(S796="",R796=0),"",ROUND(S796*R796,2))</f>
        <v/>
      </c>
      <c r="U796" s="2" t="inlineStr"/>
    </row>
    <row r="797">
      <c r="A797" s="2" t="inlineStr">
        <is>
          <t>Q</t>
        </is>
      </c>
      <c r="B797" s="2" t="inlineStr">
        <is>
          <t>DRAINAGE SYSTEM</t>
        </is>
      </c>
      <c r="C797" s="2" t="inlineStr">
        <is>
          <t>F</t>
        </is>
      </c>
      <c r="D797" s="2" t="inlineStr">
        <is>
          <t>Shower Linear Drain</t>
        </is>
      </c>
      <c r="E797" s="2" t="inlineStr">
        <is>
          <t>No</t>
        </is>
      </c>
      <c r="F797" s="2" t="n">
        <v>6</v>
      </c>
      <c r="G797" s="2" t="n">
        <v>6</v>
      </c>
      <c r="H797" s="2" t="n">
        <v>8</v>
      </c>
      <c r="I797" s="2" t="n">
        <v>8</v>
      </c>
      <c r="J797" s="2" t="n">
        <v>10</v>
      </c>
      <c r="K797" s="2" t="n">
        <v>10</v>
      </c>
      <c r="L797" s="2" t="n">
        <v>0</v>
      </c>
      <c r="M797" s="2" t="n">
        <v>0</v>
      </c>
      <c r="N797" s="2" t="n">
        <v>0</v>
      </c>
      <c r="O797" s="2" t="n">
        <v>0</v>
      </c>
      <c r="P797" s="2" t="n">
        <v>0</v>
      </c>
      <c r="Q797" s="2" t="n">
        <v>48</v>
      </c>
      <c r="R797" s="2" t="n">
        <v>694</v>
      </c>
      <c r="S797" s="2" t="n"/>
      <c r="T797" s="2">
        <f>IF(OR(S797="",R797=0),"",ROUND(S797*R797,2))</f>
        <v/>
      </c>
      <c r="U797" s="2" t="inlineStr"/>
    </row>
    <row r="798">
      <c r="A798" s="2" t="inlineStr">
        <is>
          <t>Q</t>
        </is>
      </c>
      <c r="B798" s="2" t="inlineStr">
        <is>
          <t>DRAINAGE SYSTEM</t>
        </is>
      </c>
      <c r="C798" s="2" t="inlineStr">
        <is>
          <t>F</t>
        </is>
      </c>
      <c r="D798" s="2" t="inlineStr">
        <is>
          <t>MH-01, 600mm x 600mm, 0.65m depth</t>
        </is>
      </c>
      <c r="E798" s="2" t="inlineStr">
        <is>
          <t>No</t>
        </is>
      </c>
      <c r="F798" s="2" t="n">
        <v>0</v>
      </c>
      <c r="G798" s="2" t="n">
        <v>0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1</v>
      </c>
      <c r="O798" s="2" t="n">
        <v>0</v>
      </c>
      <c r="P798" s="2" t="n">
        <v>0</v>
      </c>
      <c r="Q798" s="2" t="n">
        <v>1</v>
      </c>
      <c r="R798" s="2" t="n">
        <v>1</v>
      </c>
      <c r="S798" s="2" t="n"/>
      <c r="T798" s="2">
        <f>IF(OR(S798="",R798=0),"",ROUND(S798*R798,2))</f>
        <v/>
      </c>
      <c r="U798" s="2" t="inlineStr"/>
    </row>
    <row r="799">
      <c r="A799" s="2" t="inlineStr">
        <is>
          <t>Q</t>
        </is>
      </c>
      <c r="B799" s="2" t="inlineStr">
        <is>
          <t>DRAINAGE SYSTEM</t>
        </is>
      </c>
      <c r="C799" s="2" t="inlineStr">
        <is>
          <t>F</t>
        </is>
      </c>
      <c r="D799" s="2" t="inlineStr">
        <is>
          <t>SW-105, Wall Mounted Mixer with Long Spout</t>
        </is>
      </c>
      <c r="E799" s="2" t="inlineStr">
        <is>
          <t>No</t>
        </is>
      </c>
      <c r="F799" s="2" t="n">
        <v>0</v>
      </c>
      <c r="G799" s="2" t="n">
        <v>0</v>
      </c>
      <c r="H799" s="2" t="n">
        <v>0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0</v>
      </c>
      <c r="N799" s="2" t="n">
        <v>1</v>
      </c>
      <c r="O799" s="2" t="n">
        <v>0</v>
      </c>
      <c r="P799" s="2" t="n">
        <v>0</v>
      </c>
      <c r="Q799" s="2" t="n">
        <v>1</v>
      </c>
      <c r="R799" s="2" t="n">
        <v>1</v>
      </c>
      <c r="S799" s="2" t="n"/>
      <c r="T799" s="2">
        <f>IF(OR(S799="",R799=0),"",ROUND(S799*R799,2))</f>
        <v/>
      </c>
      <c r="U799" s="2" t="inlineStr"/>
    </row>
    <row r="800">
      <c r="A800" s="2" t="inlineStr">
        <is>
          <t>Q</t>
        </is>
      </c>
      <c r="B800" s="2" t="inlineStr">
        <is>
          <t>DRAINAGE SYSTEM</t>
        </is>
      </c>
      <c r="C800" s="2" t="inlineStr">
        <is>
          <t>G</t>
        </is>
      </c>
      <c r="D800" s="2" t="inlineStr">
        <is>
          <t>40mm diameter</t>
        </is>
      </c>
      <c r="E800" s="2" t="inlineStr">
        <is>
          <t>m</t>
        </is>
      </c>
      <c r="F800" s="2" t="n">
        <v>54</v>
      </c>
      <c r="G800" s="2" t="n">
        <v>54</v>
      </c>
      <c r="H800" s="2" t="n">
        <v>73</v>
      </c>
      <c r="I800" s="2" t="n">
        <v>73</v>
      </c>
      <c r="J800" s="2" t="n">
        <v>91</v>
      </c>
      <c r="K800" s="2" t="n">
        <v>91</v>
      </c>
      <c r="L800" s="2" t="n">
        <v>24</v>
      </c>
      <c r="M800" s="2" t="n">
        <v>24</v>
      </c>
      <c r="N800" s="2" t="n">
        <v>42</v>
      </c>
      <c r="O800" s="2" t="n">
        <v>1</v>
      </c>
      <c r="P800" s="2" t="n">
        <v>0</v>
      </c>
      <c r="Q800" s="2" t="n">
        <v>527</v>
      </c>
      <c r="R800" s="2" t="n">
        <v>7232</v>
      </c>
      <c r="S800" s="2" t="n"/>
      <c r="T800" s="2">
        <f>IF(OR(S800="",R800=0),"",ROUND(S800*R800,2))</f>
        <v/>
      </c>
      <c r="U800" s="2" t="inlineStr"/>
    </row>
    <row r="801">
      <c r="A801" s="2" t="inlineStr">
        <is>
          <t>Q</t>
        </is>
      </c>
      <c r="B801" s="2" t="inlineStr">
        <is>
          <t>DRAINAGE SYSTEM</t>
        </is>
      </c>
      <c r="C801" s="2" t="inlineStr">
        <is>
          <t>G</t>
        </is>
      </c>
      <c r="D801" s="2" t="inlineStr">
        <is>
          <t>Balcony Drain with Built in Trap</t>
        </is>
      </c>
      <c r="E801" s="2" t="inlineStr">
        <is>
          <t>No</t>
        </is>
      </c>
      <c r="F801" s="2" t="n">
        <v>4</v>
      </c>
      <c r="G801" s="2" t="n">
        <v>4</v>
      </c>
      <c r="H801" s="2" t="n">
        <v>6</v>
      </c>
      <c r="I801" s="2" t="n">
        <v>6</v>
      </c>
      <c r="J801" s="2" t="n">
        <v>8</v>
      </c>
      <c r="K801" s="2" t="n">
        <v>8</v>
      </c>
      <c r="L801" s="2" t="n">
        <v>3</v>
      </c>
      <c r="M801" s="2" t="n">
        <v>3</v>
      </c>
      <c r="N801" s="2" t="n">
        <v>0</v>
      </c>
      <c r="O801" s="2" t="n">
        <v>0</v>
      </c>
      <c r="P801" s="2" t="n">
        <v>0</v>
      </c>
      <c r="Q801" s="2" t="n">
        <v>42</v>
      </c>
      <c r="R801" s="2" t="n">
        <v>621</v>
      </c>
      <c r="S801" s="2" t="n"/>
      <c r="T801" s="2">
        <f>IF(OR(S801="",R801=0),"",ROUND(S801*R801,2))</f>
        <v/>
      </c>
      <c r="U801" s="2" t="inlineStr"/>
    </row>
    <row r="802">
      <c r="A802" s="2" t="inlineStr">
        <is>
          <t>Q</t>
        </is>
      </c>
      <c r="B802" s="2" t="inlineStr">
        <is>
          <t>DRAINAGE SYSTEM</t>
        </is>
      </c>
      <c r="C802" s="2" t="inlineStr">
        <is>
          <t>G</t>
        </is>
      </c>
      <c r="D802" s="2" t="inlineStr">
        <is>
          <t>MH-02, 600mm x 600mm, 1m depth</t>
        </is>
      </c>
      <c r="E802" s="2" t="inlineStr">
        <is>
          <t>No</t>
        </is>
      </c>
      <c r="F802" s="2" t="n">
        <v>0</v>
      </c>
      <c r="G802" s="2" t="n">
        <v>0</v>
      </c>
      <c r="H802" s="2" t="n">
        <v>0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1</v>
      </c>
      <c r="O802" s="2" t="n">
        <v>0</v>
      </c>
      <c r="P802" s="2" t="n">
        <v>0</v>
      </c>
      <c r="Q802" s="2" t="n">
        <v>1</v>
      </c>
      <c r="R802" s="2" t="n">
        <v>1</v>
      </c>
      <c r="S802" s="2" t="n"/>
      <c r="T802" s="2">
        <f>IF(OR(S802="",R802=0),"",ROUND(S802*R802,2))</f>
        <v/>
      </c>
      <c r="U802" s="2" t="inlineStr"/>
    </row>
    <row r="803">
      <c r="A803" s="2" t="inlineStr">
        <is>
          <t>Q</t>
        </is>
      </c>
      <c r="B803" s="2" t="inlineStr">
        <is>
          <t>DRAINAGE SYSTEM</t>
        </is>
      </c>
      <c r="C803" s="2" t="inlineStr">
        <is>
          <t>G</t>
        </is>
      </c>
      <c r="D803" s="2" t="inlineStr">
        <is>
          <t>KE-103, Bottle Trap</t>
        </is>
      </c>
      <c r="E803" s="2" t="inlineStr">
        <is>
          <t>No</t>
        </is>
      </c>
      <c r="F803" s="2" t="n">
        <v>0</v>
      </c>
      <c r="G803" s="2" t="n">
        <v>0</v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1</v>
      </c>
      <c r="O803" s="2" t="n">
        <v>0</v>
      </c>
      <c r="P803" s="2" t="n">
        <v>0</v>
      </c>
      <c r="Q803" s="2" t="n">
        <v>1</v>
      </c>
      <c r="R803" s="2" t="n">
        <v>1</v>
      </c>
      <c r="S803" s="2" t="n"/>
      <c r="T803" s="2">
        <f>IF(OR(S803="",R803=0),"",ROUND(S803*R803,2))</f>
        <v/>
      </c>
      <c r="U803" s="2" t="inlineStr"/>
    </row>
    <row r="804">
      <c r="A804" s="2" t="inlineStr">
        <is>
          <t>Q</t>
        </is>
      </c>
      <c r="B804" s="2" t="inlineStr">
        <is>
          <t>DRAINAGE SYSTEM</t>
        </is>
      </c>
      <c r="C804" s="2" t="inlineStr">
        <is>
          <t>G</t>
        </is>
      </c>
      <c r="D804" s="2" t="inlineStr">
        <is>
          <t>SW-200, Wall Mounted WC</t>
        </is>
      </c>
      <c r="E804" s="2" t="inlineStr">
        <is>
          <t>No</t>
        </is>
      </c>
      <c r="F804" s="2" t="n">
        <v>0</v>
      </c>
      <c r="G804" s="2" t="n">
        <v>0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6</v>
      </c>
      <c r="O804" s="2" t="n">
        <v>0</v>
      </c>
      <c r="P804" s="2" t="n">
        <v>0</v>
      </c>
      <c r="Q804" s="2" t="n">
        <v>6</v>
      </c>
      <c r="R804" s="2" t="n">
        <v>6</v>
      </c>
      <c r="S804" s="2" t="n"/>
      <c r="T804" s="2">
        <f>IF(OR(S804="",R804=0),"",ROUND(S804*R804,2))</f>
        <v/>
      </c>
      <c r="U804" s="2" t="inlineStr"/>
    </row>
    <row r="805">
      <c r="A805" s="2" t="inlineStr">
        <is>
          <t>Q</t>
        </is>
      </c>
      <c r="B805" s="2" t="inlineStr">
        <is>
          <t>DRAINAGE SYSTEM</t>
        </is>
      </c>
      <c r="C805" s="2" t="inlineStr">
        <is>
          <t>H</t>
        </is>
      </c>
      <c r="D805" s="2" t="inlineStr">
        <is>
          <t>50mm diameter</t>
        </is>
      </c>
      <c r="E805" s="2" t="inlineStr">
        <is>
          <t>m</t>
        </is>
      </c>
      <c r="F805" s="2" t="n">
        <v>21</v>
      </c>
      <c r="G805" s="2" t="n">
        <v>21</v>
      </c>
      <c r="H805" s="2" t="n">
        <v>35</v>
      </c>
      <c r="I805" s="2" t="n">
        <v>35</v>
      </c>
      <c r="J805" s="2" t="n">
        <v>48</v>
      </c>
      <c r="K805" s="2" t="n">
        <v>48</v>
      </c>
      <c r="L805" s="2" t="n">
        <v>9</v>
      </c>
      <c r="M805" s="2" t="n">
        <v>9</v>
      </c>
      <c r="N805" s="2" t="n">
        <v>10</v>
      </c>
      <c r="O805" s="2" t="n">
        <v>0</v>
      </c>
      <c r="P805" s="2" t="n">
        <v>0</v>
      </c>
      <c r="Q805" s="2" t="n">
        <v>236</v>
      </c>
      <c r="R805" s="2" t="n">
        <v>3253</v>
      </c>
      <c r="S805" s="2" t="n"/>
      <c r="T805" s="2">
        <f>IF(OR(S805="",R805=0),"",ROUND(S805*R805,2))</f>
        <v/>
      </c>
      <c r="U805" s="2" t="inlineStr"/>
    </row>
    <row r="806">
      <c r="A806" s="2" t="inlineStr">
        <is>
          <t>Q</t>
        </is>
      </c>
      <c r="B806" s="2" t="inlineStr">
        <is>
          <t>DRAINAGE SYSTEM</t>
        </is>
      </c>
      <c r="C806" s="2" t="inlineStr">
        <is>
          <t>H</t>
        </is>
      </c>
      <c r="D806" s="2" t="inlineStr">
        <is>
          <t>Planter Drain, (Ref. PD)</t>
        </is>
      </c>
      <c r="E806" s="2" t="inlineStr">
        <is>
          <t>No</t>
        </is>
      </c>
      <c r="F806" s="2" t="n">
        <v>0</v>
      </c>
      <c r="G806" s="2" t="n">
        <v>0</v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0</v>
      </c>
      <c r="M806" s="2" t="n">
        <v>0</v>
      </c>
      <c r="N806" s="2" t="n">
        <v>10</v>
      </c>
      <c r="O806" s="2" t="n">
        <v>0</v>
      </c>
      <c r="P806" s="2" t="n">
        <v>0</v>
      </c>
      <c r="Q806" s="2" t="n">
        <v>10</v>
      </c>
      <c r="R806" s="2" t="n">
        <v>10</v>
      </c>
      <c r="S806" s="2" t="n"/>
      <c r="T806" s="2">
        <f>IF(OR(S806="",R806=0),"",ROUND(S806*R806,2))</f>
        <v/>
      </c>
      <c r="U806" s="2" t="inlineStr"/>
    </row>
    <row r="807">
      <c r="A807" s="2" t="inlineStr">
        <is>
          <t>Q</t>
        </is>
      </c>
      <c r="B807" s="2" t="inlineStr">
        <is>
          <t>DRAINAGE SYSTEM</t>
        </is>
      </c>
      <c r="C807" s="2" t="inlineStr">
        <is>
          <t>H</t>
        </is>
      </c>
      <c r="D807" s="2" t="inlineStr">
        <is>
          <t>MH-03, 600mm x 600mm, 1.15m depth</t>
        </is>
      </c>
      <c r="E807" s="2" t="inlineStr">
        <is>
          <t>No</t>
        </is>
      </c>
      <c r="F807" s="2" t="n">
        <v>0</v>
      </c>
      <c r="G807" s="2" t="n">
        <v>0</v>
      </c>
      <c r="H807" s="2" t="n">
        <v>0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0</v>
      </c>
      <c r="N807" s="2" t="n">
        <v>1</v>
      </c>
      <c r="O807" s="2" t="n">
        <v>0</v>
      </c>
      <c r="P807" s="2" t="n">
        <v>0</v>
      </c>
      <c r="Q807" s="2" t="n">
        <v>1</v>
      </c>
      <c r="R807" s="2" t="n">
        <v>1</v>
      </c>
      <c r="S807" s="2" t="n"/>
      <c r="T807" s="2">
        <f>IF(OR(S807="",R807=0),"",ROUND(S807*R807,2))</f>
        <v/>
      </c>
      <c r="U807" s="2" t="inlineStr"/>
    </row>
    <row r="808">
      <c r="A808" s="2" t="inlineStr">
        <is>
          <t>Q</t>
        </is>
      </c>
      <c r="B808" s="2" t="inlineStr">
        <is>
          <t>DRAINAGE SYSTEM</t>
        </is>
      </c>
      <c r="C808" s="2" t="inlineStr">
        <is>
          <t>H</t>
        </is>
      </c>
      <c r="D808" s="2" t="inlineStr">
        <is>
          <t>EQ-105, Drip Tray</t>
        </is>
      </c>
      <c r="E808" s="2" t="inlineStr">
        <is>
          <t>No</t>
        </is>
      </c>
      <c r="F808" s="2" t="n">
        <v>0</v>
      </c>
      <c r="G808" s="2" t="n">
        <v>0</v>
      </c>
      <c r="H808" s="2" t="n">
        <v>0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1</v>
      </c>
      <c r="O808" s="2" t="n">
        <v>0</v>
      </c>
      <c r="P808" s="2" t="n">
        <v>0</v>
      </c>
      <c r="Q808" s="2" t="n">
        <v>1</v>
      </c>
      <c r="R808" s="2" t="n">
        <v>1</v>
      </c>
      <c r="S808" s="2" t="n"/>
      <c r="T808" s="2">
        <f>IF(OR(S808="",R808=0),"",ROUND(S808*R808,2))</f>
        <v/>
      </c>
      <c r="U808" s="2" t="inlineStr"/>
    </row>
    <row r="809">
      <c r="A809" s="2" t="inlineStr">
        <is>
          <t>Q</t>
        </is>
      </c>
      <c r="B809" s="2" t="inlineStr">
        <is>
          <t>DRAINAGE SYSTEM</t>
        </is>
      </c>
      <c r="C809" s="2" t="inlineStr">
        <is>
          <t>H</t>
        </is>
      </c>
      <c r="D809" s="2" t="inlineStr">
        <is>
          <t>SW-200.1, Concealed Cistern Tank</t>
        </is>
      </c>
      <c r="E809" s="2" t="inlineStr">
        <is>
          <t>No</t>
        </is>
      </c>
      <c r="F809" s="2" t="n">
        <v>0</v>
      </c>
      <c r="G809" s="2" t="n">
        <v>0</v>
      </c>
      <c r="H809" s="2" t="n">
        <v>0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  <c r="N809" s="2" t="n">
        <v>9</v>
      </c>
      <c r="O809" s="2" t="n">
        <v>0</v>
      </c>
      <c r="P809" s="2" t="n">
        <v>0</v>
      </c>
      <c r="Q809" s="2" t="n">
        <v>9</v>
      </c>
      <c r="R809" s="2" t="n">
        <v>9</v>
      </c>
      <c r="S809" s="2" t="n"/>
      <c r="T809" s="2">
        <f>IF(OR(S809="",R809=0),"",ROUND(S809*R809,2))</f>
        <v/>
      </c>
      <c r="U809" s="2" t="inlineStr"/>
    </row>
    <row r="810">
      <c r="A810" s="2" t="inlineStr">
        <is>
          <t>Q</t>
        </is>
      </c>
      <c r="B810" s="2" t="inlineStr">
        <is>
          <t>DRAINAGE SYSTEM</t>
        </is>
      </c>
      <c r="C810" s="2" t="inlineStr">
        <is>
          <t>H</t>
        </is>
      </c>
      <c r="D810" s="2" t="inlineStr">
        <is>
          <t>SW-03, Water Closet (Floor Standing)</t>
        </is>
      </c>
      <c r="E810" s="2" t="inlineStr">
        <is>
          <t>No</t>
        </is>
      </c>
      <c r="F810" s="2" t="n">
        <v>0</v>
      </c>
      <c r="G810" s="2" t="n">
        <v>0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 t="n">
        <v>1</v>
      </c>
      <c r="P810" s="2" t="n">
        <v>0</v>
      </c>
      <c r="Q810" s="2" t="n">
        <v>1</v>
      </c>
      <c r="R810" s="2" t="n">
        <v>1</v>
      </c>
      <c r="S810" s="2" t="n"/>
      <c r="T810" s="2">
        <f>IF(OR(S810="",R810=0),"",ROUND(S810*R810,2))</f>
        <v/>
      </c>
      <c r="U810" s="2" t="inlineStr"/>
    </row>
    <row r="811">
      <c r="A811" s="2" t="inlineStr">
        <is>
          <t>Q</t>
        </is>
      </c>
      <c r="B811" s="2" t="inlineStr">
        <is>
          <t>DRAINAGE SYSTEM</t>
        </is>
      </c>
      <c r="C811" s="2" t="inlineStr">
        <is>
          <t>J</t>
        </is>
      </c>
      <c r="D811" s="2" t="inlineStr">
        <is>
          <t>82mm diameter</t>
        </is>
      </c>
      <c r="E811" s="2" t="inlineStr">
        <is>
          <t>m</t>
        </is>
      </c>
      <c r="F811" s="2" t="n">
        <v>101</v>
      </c>
      <c r="G811" s="2" t="n">
        <v>101</v>
      </c>
      <c r="H811" s="2" t="n">
        <v>141</v>
      </c>
      <c r="I811" s="2" t="n">
        <v>141</v>
      </c>
      <c r="J811" s="2" t="n">
        <v>182</v>
      </c>
      <c r="K811" s="2" t="n">
        <v>182</v>
      </c>
      <c r="L811" s="2" t="n">
        <v>56</v>
      </c>
      <c r="M811" s="2" t="n">
        <v>56</v>
      </c>
      <c r="N811" s="2" t="n">
        <v>71</v>
      </c>
      <c r="O811" s="2" t="n">
        <v>4</v>
      </c>
      <c r="P811" s="2" t="n">
        <v>0</v>
      </c>
      <c r="Q811" s="2" t="n">
        <v>1035</v>
      </c>
      <c r="R811" s="2" t="n">
        <v>14295</v>
      </c>
      <c r="S811" s="2" t="n"/>
      <c r="T811" s="2">
        <f>IF(OR(S811="",R811=0),"",ROUND(S811*R811,2))</f>
        <v/>
      </c>
      <c r="U811" s="2" t="inlineStr"/>
    </row>
    <row r="812">
      <c r="A812" s="2" t="inlineStr">
        <is>
          <t>Q</t>
        </is>
      </c>
      <c r="B812" s="2" t="inlineStr">
        <is>
          <t>DRAINAGE SYSTEM</t>
        </is>
      </c>
      <c r="C812" s="2" t="inlineStr">
        <is>
          <t>J</t>
        </is>
      </c>
      <c r="D812" s="2" t="inlineStr">
        <is>
          <t>Clean Out, (Ref. CO)</t>
        </is>
      </c>
      <c r="E812" s="2" t="inlineStr">
        <is>
          <t>No</t>
        </is>
      </c>
      <c r="F812" s="2" t="n">
        <v>18</v>
      </c>
      <c r="G812" s="2" t="n">
        <v>18</v>
      </c>
      <c r="H812" s="2" t="n">
        <v>24</v>
      </c>
      <c r="I812" s="2" t="n">
        <v>24</v>
      </c>
      <c r="J812" s="2" t="n">
        <v>30</v>
      </c>
      <c r="K812" s="2" t="n">
        <v>30</v>
      </c>
      <c r="L812" s="2" t="n">
        <v>9</v>
      </c>
      <c r="M812" s="2" t="n">
        <v>9</v>
      </c>
      <c r="N812" s="2" t="n">
        <v>14</v>
      </c>
      <c r="O812" s="2" t="n">
        <v>0</v>
      </c>
      <c r="P812" s="2" t="n">
        <v>0</v>
      </c>
      <c r="Q812" s="2" t="n">
        <v>176</v>
      </c>
      <c r="R812" s="2" t="n">
        <v>2429</v>
      </c>
      <c r="S812" s="2" t="n"/>
      <c r="T812" s="2">
        <f>IF(OR(S812="",R812=0),"",ROUND(S812*R812,2))</f>
        <v/>
      </c>
      <c r="U812" s="2" t="inlineStr"/>
    </row>
    <row r="813">
      <c r="A813" s="2" t="inlineStr">
        <is>
          <t>Q</t>
        </is>
      </c>
      <c r="B813" s="2" t="inlineStr">
        <is>
          <t>DRAINAGE SYSTEM</t>
        </is>
      </c>
      <c r="C813" s="2" t="inlineStr">
        <is>
          <t>J</t>
        </is>
      </c>
      <c r="D813" s="2" t="inlineStr">
        <is>
          <t>MH-04, 600mm x 600mm, 1.3m depth</t>
        </is>
      </c>
      <c r="E813" s="2" t="inlineStr">
        <is>
          <t>No</t>
        </is>
      </c>
      <c r="F813" s="2" t="n">
        <v>0</v>
      </c>
      <c r="G813" s="2" t="n">
        <v>0</v>
      </c>
      <c r="H813" s="2" t="n">
        <v>0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1</v>
      </c>
      <c r="O813" s="2" t="n">
        <v>0</v>
      </c>
      <c r="P813" s="2" t="n">
        <v>0</v>
      </c>
      <c r="Q813" s="2" t="n">
        <v>1</v>
      </c>
      <c r="R813" s="2" t="n">
        <v>1</v>
      </c>
      <c r="S813" s="2" t="n"/>
      <c r="T813" s="2">
        <f>IF(OR(S813="",R813=0),"",ROUND(S813*R813,2))</f>
        <v/>
      </c>
      <c r="U813" s="2" t="inlineStr"/>
    </row>
    <row r="814">
      <c r="A814" s="2" t="inlineStr">
        <is>
          <t>Q</t>
        </is>
      </c>
      <c r="B814" s="2" t="inlineStr">
        <is>
          <t>DRAINAGE SYSTEM</t>
        </is>
      </c>
      <c r="C814" s="2" t="inlineStr">
        <is>
          <t>J</t>
        </is>
      </c>
      <c r="D814" s="2" t="inlineStr">
        <is>
          <t>SW-04, Bidet Spray</t>
        </is>
      </c>
      <c r="E814" s="2" t="inlineStr">
        <is>
          <t>No</t>
        </is>
      </c>
      <c r="F814" s="2" t="n">
        <v>0</v>
      </c>
      <c r="G814" s="2" t="n">
        <v>0</v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n">
        <v>1</v>
      </c>
      <c r="P814" s="2" t="n">
        <v>0</v>
      </c>
      <c r="Q814" s="2" t="n">
        <v>1</v>
      </c>
      <c r="R814" s="2" t="n">
        <v>1</v>
      </c>
      <c r="S814" s="2" t="n"/>
      <c r="T814" s="2">
        <f>IF(OR(S814="",R814=0),"",ROUND(S814*R814,2))</f>
        <v/>
      </c>
      <c r="U814" s="2" t="inlineStr"/>
    </row>
    <row r="815">
      <c r="A815" s="2" t="inlineStr">
        <is>
          <t>Q</t>
        </is>
      </c>
      <c r="B815" s="2" t="inlineStr">
        <is>
          <t>DRAINAGE SYSTEM</t>
        </is>
      </c>
      <c r="C815" s="2" t="inlineStr">
        <is>
          <t>K</t>
        </is>
      </c>
      <c r="D815" s="2" t="inlineStr">
        <is>
          <t>110mm diameter</t>
        </is>
      </c>
      <c r="E815" s="2" t="inlineStr">
        <is>
          <t>m</t>
        </is>
      </c>
      <c r="F815" s="2" t="n">
        <v>194</v>
      </c>
      <c r="G815" s="2" t="n">
        <v>194</v>
      </c>
      <c r="H815" s="2" t="n">
        <v>272</v>
      </c>
      <c r="I815" s="2" t="n">
        <v>272</v>
      </c>
      <c r="J815" s="2" t="n">
        <v>349</v>
      </c>
      <c r="K815" s="2" t="n">
        <v>349</v>
      </c>
      <c r="L815" s="2" t="n">
        <v>74</v>
      </c>
      <c r="M815" s="2" t="n">
        <v>74</v>
      </c>
      <c r="N815" s="2" t="n">
        <v>98</v>
      </c>
      <c r="O815" s="2" t="n">
        <v>5</v>
      </c>
      <c r="P815" s="2" t="n">
        <v>0</v>
      </c>
      <c r="Q815" s="2" t="n">
        <v>1881</v>
      </c>
      <c r="R815" s="2" t="n">
        <v>26211</v>
      </c>
      <c r="S815" s="2" t="n"/>
      <c r="T815" s="2">
        <f>IF(OR(S815="",R815=0),"",ROUND(S815*R815,2))</f>
        <v/>
      </c>
      <c r="U815" s="2" t="inlineStr"/>
    </row>
    <row r="816">
      <c r="A816" s="2" t="inlineStr">
        <is>
          <t>Q</t>
        </is>
      </c>
      <c r="B816" s="2" t="inlineStr">
        <is>
          <t>DRAINAGE SYSTEM</t>
        </is>
      </c>
      <c r="C816" s="2" t="inlineStr">
        <is>
          <t>K</t>
        </is>
      </c>
      <c r="D816" s="2" t="inlineStr">
        <is>
          <t>Floor Clean Out, (Ref. FCO)</t>
        </is>
      </c>
      <c r="E816" s="2" t="inlineStr">
        <is>
          <t>No</t>
        </is>
      </c>
      <c r="F816" s="2" t="n">
        <v>8</v>
      </c>
      <c r="G816" s="2" t="n">
        <v>8</v>
      </c>
      <c r="H816" s="2" t="n">
        <v>12</v>
      </c>
      <c r="I816" s="2" t="n">
        <v>12</v>
      </c>
      <c r="J816" s="2" t="n">
        <v>16</v>
      </c>
      <c r="K816" s="2" t="n">
        <v>16</v>
      </c>
      <c r="L816" s="2" t="n">
        <v>2</v>
      </c>
      <c r="M816" s="2" t="n">
        <v>2</v>
      </c>
      <c r="N816" s="2" t="n">
        <v>6</v>
      </c>
      <c r="O816" s="2" t="n">
        <v>0</v>
      </c>
      <c r="P816" s="2" t="n">
        <v>0</v>
      </c>
      <c r="Q816" s="2" t="n">
        <v>82</v>
      </c>
      <c r="R816" s="2" t="n">
        <v>1100</v>
      </c>
      <c r="S816" s="2" t="n"/>
      <c r="T816" s="2">
        <f>IF(OR(S816="",R816=0),"",ROUND(S816*R816,2))</f>
        <v/>
      </c>
      <c r="U816" s="2" t="inlineStr"/>
    </row>
    <row r="817">
      <c r="A817" s="2" t="inlineStr">
        <is>
          <t>Q</t>
        </is>
      </c>
      <c r="B817" s="2" t="inlineStr">
        <is>
          <t>DRAINAGE SYSTEM</t>
        </is>
      </c>
      <c r="C817" s="2" t="inlineStr">
        <is>
          <t>K</t>
        </is>
      </c>
      <c r="D817" s="2" t="inlineStr">
        <is>
          <t>MH-05, 800mm x 800mm, 1.5m depth</t>
        </is>
      </c>
      <c r="E817" s="2" t="inlineStr">
        <is>
          <t>No</t>
        </is>
      </c>
      <c r="F817" s="2" t="n">
        <v>0</v>
      </c>
      <c r="G817" s="2" t="n">
        <v>0</v>
      </c>
      <c r="H817" s="2" t="n">
        <v>0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0</v>
      </c>
      <c r="N817" s="2" t="n">
        <v>1</v>
      </c>
      <c r="O817" s="2" t="n">
        <v>0</v>
      </c>
      <c r="P817" s="2" t="n">
        <v>0</v>
      </c>
      <c r="Q817" s="2" t="n">
        <v>1</v>
      </c>
      <c r="R817" s="2" t="n">
        <v>1</v>
      </c>
      <c r="S817" s="2" t="n"/>
      <c r="T817" s="2">
        <f>IF(OR(S817="",R817=0),"",ROUND(S817*R817,2))</f>
        <v/>
      </c>
      <c r="U817" s="2" t="inlineStr"/>
    </row>
    <row r="818">
      <c r="A818" s="2" t="inlineStr">
        <is>
          <t>Q</t>
        </is>
      </c>
      <c r="B818" s="2" t="inlineStr">
        <is>
          <t>DRAINAGE SYSTEM</t>
        </is>
      </c>
      <c r="C818" s="2" t="inlineStr">
        <is>
          <t>K</t>
        </is>
      </c>
      <c r="D818" s="2" t="inlineStr">
        <is>
          <t>SW-200, Wall Mounted Water Closet</t>
        </is>
      </c>
      <c r="E818" s="2" t="inlineStr">
        <is>
          <t>No</t>
        </is>
      </c>
      <c r="F818" s="2" t="n">
        <v>14</v>
      </c>
      <c r="G818" s="2" t="n">
        <v>14</v>
      </c>
      <c r="H818" s="2" t="n">
        <v>20</v>
      </c>
      <c r="I818" s="2" t="n">
        <v>20</v>
      </c>
      <c r="J818" s="2" t="n">
        <v>26</v>
      </c>
      <c r="K818" s="2" t="n">
        <v>26</v>
      </c>
      <c r="L818" s="2" t="n">
        <v>6</v>
      </c>
      <c r="M818" s="2" t="n">
        <v>6</v>
      </c>
      <c r="N818" s="2" t="n">
        <v>0</v>
      </c>
      <c r="O818" s="2" t="n">
        <v>0</v>
      </c>
      <c r="P818" s="2" t="n">
        <v>0</v>
      </c>
      <c r="Q818" s="2" t="n">
        <v>132</v>
      </c>
      <c r="R818" s="2" t="n">
        <v>1936</v>
      </c>
      <c r="S818" s="2" t="n"/>
      <c r="T818" s="2">
        <f>IF(OR(S818="",R818=0),"",ROUND(S818*R818,2))</f>
        <v/>
      </c>
      <c r="U818" s="2" t="inlineStr"/>
    </row>
    <row r="819">
      <c r="A819" s="2" t="inlineStr">
        <is>
          <t>Q</t>
        </is>
      </c>
      <c r="B819" s="2" t="inlineStr">
        <is>
          <t>DRAINAGE SYSTEM</t>
        </is>
      </c>
      <c r="C819" s="2" t="inlineStr">
        <is>
          <t>K</t>
        </is>
      </c>
      <c r="D819" s="2" t="inlineStr">
        <is>
          <t>SW-202, Urinal</t>
        </is>
      </c>
      <c r="E819" s="2" t="inlineStr">
        <is>
          <t>No</t>
        </is>
      </c>
      <c r="F819" s="2" t="n">
        <v>0</v>
      </c>
      <c r="G819" s="2" t="n">
        <v>0</v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3</v>
      </c>
      <c r="O819" s="2" t="n">
        <v>0</v>
      </c>
      <c r="P819" s="2" t="n">
        <v>0</v>
      </c>
      <c r="Q819" s="2" t="n">
        <v>3</v>
      </c>
      <c r="R819" s="2" t="n">
        <v>3</v>
      </c>
      <c r="S819" s="2" t="n"/>
      <c r="T819" s="2">
        <f>IF(OR(S819="",R819=0),"",ROUND(S819*R819,2))</f>
        <v/>
      </c>
      <c r="U819" s="2" t="inlineStr"/>
    </row>
    <row r="820">
      <c r="A820" s="2" t="inlineStr">
        <is>
          <t>Q</t>
        </is>
      </c>
      <c r="B820" s="2" t="inlineStr">
        <is>
          <t>DRAINAGE SYSTEM</t>
        </is>
      </c>
      <c r="C820" s="2" t="inlineStr">
        <is>
          <t>L</t>
        </is>
      </c>
      <c r="D820" s="2" t="inlineStr">
        <is>
          <t>160mm diameter</t>
        </is>
      </c>
      <c r="E820" s="2" t="inlineStr">
        <is>
          <t>m</t>
        </is>
      </c>
      <c r="F820" s="2" t="n">
        <v>0</v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18</v>
      </c>
      <c r="O820" s="2" t="n">
        <v>0</v>
      </c>
      <c r="P820" s="2" t="n">
        <v>0</v>
      </c>
      <c r="Q820" s="2" t="n">
        <v>18</v>
      </c>
      <c r="R820" s="2" t="n">
        <v>18</v>
      </c>
      <c r="S820" s="2" t="n"/>
      <c r="T820" s="2">
        <f>IF(OR(S820="",R820=0),"",ROUND(S820*R820,2))</f>
        <v/>
      </c>
      <c r="U820" s="2" t="inlineStr"/>
    </row>
    <row r="821">
      <c r="A821" s="2" t="inlineStr">
        <is>
          <t>Q</t>
        </is>
      </c>
      <c r="B821" s="2" t="inlineStr">
        <is>
          <t>DRAINAGE SYSTEM</t>
        </is>
      </c>
      <c r="C821" s="2" t="inlineStr">
        <is>
          <t>L</t>
        </is>
      </c>
      <c r="D821" s="2" t="inlineStr">
        <is>
          <t>Rain Water Outlet, (Ref. RWO)</t>
        </is>
      </c>
      <c r="E821" s="2" t="inlineStr">
        <is>
          <t>No</t>
        </is>
      </c>
      <c r="F821" s="2" t="n">
        <v>6</v>
      </c>
      <c r="G821" s="2" t="n">
        <v>6</v>
      </c>
      <c r="H821" s="2" t="n">
        <v>8</v>
      </c>
      <c r="I821" s="2" t="n">
        <v>8</v>
      </c>
      <c r="J821" s="2" t="n">
        <v>10</v>
      </c>
      <c r="K821" s="2" t="n">
        <v>10</v>
      </c>
      <c r="L821" s="2" t="n">
        <v>1</v>
      </c>
      <c r="M821" s="2" t="n">
        <v>1</v>
      </c>
      <c r="N821" s="2" t="n">
        <v>6</v>
      </c>
      <c r="O821" s="2" t="n">
        <v>0</v>
      </c>
      <c r="P821" s="2" t="n">
        <v>0</v>
      </c>
      <c r="Q821" s="2" t="n">
        <v>56</v>
      </c>
      <c r="R821" s="2" t="n">
        <v>737</v>
      </c>
      <c r="S821" s="2" t="n"/>
      <c r="T821" s="2">
        <f>IF(OR(S821="",R821=0),"",ROUND(S821*R821,2))</f>
        <v/>
      </c>
      <c r="U821" s="2" t="inlineStr"/>
    </row>
    <row r="822">
      <c r="A822" s="2" t="inlineStr">
        <is>
          <t>Q</t>
        </is>
      </c>
      <c r="B822" s="2" t="inlineStr">
        <is>
          <t>DRAINAGE SYSTEM</t>
        </is>
      </c>
      <c r="C822" s="2" t="inlineStr">
        <is>
          <t>L</t>
        </is>
      </c>
      <c r="D822" s="2" t="inlineStr">
        <is>
          <t>MH-06/FIC, 800mm x 800mm, 1.6m depth</t>
        </is>
      </c>
      <c r="E822" s="2" t="inlineStr">
        <is>
          <t>No</t>
        </is>
      </c>
      <c r="F822" s="2" t="n">
        <v>0</v>
      </c>
      <c r="G822" s="2" t="n">
        <v>0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1</v>
      </c>
      <c r="O822" s="2" t="n">
        <v>0</v>
      </c>
      <c r="P822" s="2" t="n">
        <v>0</v>
      </c>
      <c r="Q822" s="2" t="n">
        <v>1</v>
      </c>
      <c r="R822" s="2" t="n">
        <v>1</v>
      </c>
      <c r="S822" s="2" t="n"/>
      <c r="T822" s="2">
        <f>IF(OR(S822="",R822=0),"",ROUND(S822*R822,2))</f>
        <v/>
      </c>
      <c r="U822" s="2" t="inlineStr"/>
    </row>
    <row r="823">
      <c r="A823" s="2" t="inlineStr">
        <is>
          <t>Q</t>
        </is>
      </c>
      <c r="B823" s="2" t="inlineStr">
        <is>
          <t>DRAINAGE SYSTEM</t>
        </is>
      </c>
      <c r="C823" s="2" t="inlineStr">
        <is>
          <t>L</t>
        </is>
      </c>
      <c r="D823" s="2" t="inlineStr">
        <is>
          <t>SW-200.1, Concealed Cistern Tank</t>
        </is>
      </c>
      <c r="E823" s="2" t="inlineStr">
        <is>
          <t>No</t>
        </is>
      </c>
      <c r="F823" s="2" t="n">
        <v>14</v>
      </c>
      <c r="G823" s="2" t="n">
        <v>14</v>
      </c>
      <c r="H823" s="2" t="n">
        <v>20</v>
      </c>
      <c r="I823" s="2" t="n">
        <v>20</v>
      </c>
      <c r="J823" s="2" t="n">
        <v>26</v>
      </c>
      <c r="K823" s="2" t="n">
        <v>26</v>
      </c>
      <c r="L823" s="2" t="n">
        <v>6</v>
      </c>
      <c r="M823" s="2" t="n">
        <v>6</v>
      </c>
      <c r="N823" s="2" t="n">
        <v>0</v>
      </c>
      <c r="O823" s="2" t="n">
        <v>0</v>
      </c>
      <c r="P823" s="2" t="n">
        <v>0</v>
      </c>
      <c r="Q823" s="2" t="n">
        <v>132</v>
      </c>
      <c r="R823" s="2" t="n">
        <v>1936</v>
      </c>
      <c r="S823" s="2" t="n"/>
      <c r="T823" s="2">
        <f>IF(OR(S823="",R823=0),"",ROUND(S823*R823,2))</f>
        <v/>
      </c>
      <c r="U823" s="2" t="inlineStr"/>
    </row>
    <row r="824">
      <c r="A824" s="2" t="inlineStr">
        <is>
          <t>Q</t>
        </is>
      </c>
      <c r="B824" s="2" t="inlineStr">
        <is>
          <t>DRAINAGE SYSTEM</t>
        </is>
      </c>
      <c r="C824" s="2" t="inlineStr">
        <is>
          <t>M</t>
        </is>
      </c>
      <c r="D824" s="2" t="inlineStr">
        <is>
          <t>25mm diameter</t>
        </is>
      </c>
      <c r="E824" s="2" t="inlineStr">
        <is>
          <t>m</t>
        </is>
      </c>
      <c r="F824" s="2" t="n">
        <v>90</v>
      </c>
      <c r="G824" s="2" t="n">
        <v>90</v>
      </c>
      <c r="H824" s="2" t="n">
        <v>122</v>
      </c>
      <c r="I824" s="2" t="n">
        <v>122</v>
      </c>
      <c r="J824" s="2" t="n">
        <v>155</v>
      </c>
      <c r="K824" s="2" t="n">
        <v>155</v>
      </c>
      <c r="L824" s="2" t="n">
        <v>48</v>
      </c>
      <c r="M824" s="2" t="n">
        <v>48</v>
      </c>
      <c r="N824" s="2" t="n">
        <v>49</v>
      </c>
      <c r="O824" s="2" t="n">
        <v>7</v>
      </c>
      <c r="P824" s="2" t="n">
        <v>0</v>
      </c>
      <c r="Q824" s="2" t="n">
        <v>886</v>
      </c>
      <c r="R824" s="2" t="n">
        <v>12400</v>
      </c>
      <c r="S824" s="2" t="n"/>
      <c r="T824" s="2">
        <f>IF(OR(S824="",R824=0),"",ROUND(S824*R824,2))</f>
        <v/>
      </c>
      <c r="U824" s="2" t="inlineStr"/>
    </row>
    <row r="825">
      <c r="A825" s="2" t="inlineStr">
        <is>
          <t>Q</t>
        </is>
      </c>
      <c r="B825" s="2" t="inlineStr">
        <is>
          <t>DRAINAGE SYSTEM</t>
        </is>
      </c>
      <c r="C825" s="2" t="inlineStr">
        <is>
          <t>M</t>
        </is>
      </c>
      <c r="D825" s="2" t="inlineStr">
        <is>
          <t>Vent Cowl</t>
        </is>
      </c>
      <c r="E825" s="2" t="inlineStr">
        <is>
          <t>No</t>
        </is>
      </c>
      <c r="F825" s="2" t="n">
        <v>8</v>
      </c>
      <c r="G825" s="2" t="n">
        <v>8</v>
      </c>
      <c r="H825" s="2" t="n">
        <v>12</v>
      </c>
      <c r="I825" s="2" t="n">
        <v>12</v>
      </c>
      <c r="J825" s="2" t="n">
        <v>16</v>
      </c>
      <c r="K825" s="2" t="n">
        <v>16</v>
      </c>
      <c r="L825" s="2" t="n">
        <v>3</v>
      </c>
      <c r="M825" s="2" t="n">
        <v>3</v>
      </c>
      <c r="N825" s="2" t="n">
        <v>4</v>
      </c>
      <c r="O825" s="2" t="n">
        <v>0</v>
      </c>
      <c r="P825" s="2" t="n">
        <v>0</v>
      </c>
      <c r="Q825" s="2" t="n">
        <v>82</v>
      </c>
      <c r="R825" s="2" t="n">
        <v>1135</v>
      </c>
      <c r="S825" s="2" t="n"/>
      <c r="T825" s="2">
        <f>IF(OR(S825="",R825=0),"",ROUND(S825*R825,2))</f>
        <v/>
      </c>
      <c r="U825" s="2" t="inlineStr"/>
    </row>
    <row r="826">
      <c r="A826" s="2" t="inlineStr">
        <is>
          <t>Q</t>
        </is>
      </c>
      <c r="B826" s="2" t="inlineStr">
        <is>
          <t>DRAINAGE SYSTEM</t>
        </is>
      </c>
      <c r="C826" s="2" t="inlineStr">
        <is>
          <t>M</t>
        </is>
      </c>
      <c r="D826" s="2" t="inlineStr">
        <is>
          <t>Sand Trap, (Ref. ST)</t>
        </is>
      </c>
      <c r="E826" s="2" t="inlineStr">
        <is>
          <t>No</t>
        </is>
      </c>
      <c r="F826" s="2" t="n">
        <v>0</v>
      </c>
      <c r="G826" s="2" t="n">
        <v>0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0</v>
      </c>
      <c r="N826" s="2" t="n">
        <v>3</v>
      </c>
      <c r="O826" s="2" t="n">
        <v>0</v>
      </c>
      <c r="P826" s="2" t="n">
        <v>0</v>
      </c>
      <c r="Q826" s="2" t="n">
        <v>3</v>
      </c>
      <c r="R826" s="2" t="n">
        <v>3</v>
      </c>
      <c r="S826" s="2" t="n"/>
      <c r="T826" s="2">
        <f>IF(OR(S826="",R826=0),"",ROUND(S826*R826,2))</f>
        <v/>
      </c>
      <c r="U826" s="2" t="inlineStr"/>
    </row>
    <row r="827">
      <c r="A827" s="2" t="inlineStr">
        <is>
          <t>Q</t>
        </is>
      </c>
      <c r="B827" s="2" t="inlineStr">
        <is>
          <t>DRAINAGE SYSTEM</t>
        </is>
      </c>
      <c r="C827" s="2" t="inlineStr">
        <is>
          <t>M</t>
        </is>
      </c>
      <c r="D827" s="2" t="inlineStr">
        <is>
          <t>SW-204, Wall Mounted Water Closet</t>
        </is>
      </c>
      <c r="E827" s="2" t="inlineStr">
        <is>
          <t>No</t>
        </is>
      </c>
      <c r="F827" s="2" t="n">
        <v>0</v>
      </c>
      <c r="G827" s="2" t="n">
        <v>0</v>
      </c>
      <c r="H827" s="2" t="n">
        <v>0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0</v>
      </c>
      <c r="N827" s="2" t="n">
        <v>1</v>
      </c>
      <c r="O827" s="2" t="n">
        <v>0</v>
      </c>
      <c r="P827" s="2" t="n">
        <v>0</v>
      </c>
      <c r="Q827" s="2" t="n">
        <v>1</v>
      </c>
      <c r="R827" s="2" t="n">
        <v>1</v>
      </c>
      <c r="S827" s="2" t="n"/>
      <c r="T827" s="2">
        <f>IF(OR(S827="",R827=0),"",ROUND(S827*R827,2))</f>
        <v/>
      </c>
      <c r="U827" s="2" t="inlineStr"/>
    </row>
    <row r="828">
      <c r="A828" s="2" t="inlineStr">
        <is>
          <t>Q</t>
        </is>
      </c>
      <c r="B828" s="2" t="inlineStr">
        <is>
          <t>DRAINAGE SYSTEM</t>
        </is>
      </c>
      <c r="C828" s="2" t="inlineStr">
        <is>
          <t>N</t>
        </is>
      </c>
      <c r="D828" s="2" t="inlineStr">
        <is>
          <t>32mm diameter</t>
        </is>
      </c>
      <c r="E828" s="2" t="inlineStr">
        <is>
          <t>m</t>
        </is>
      </c>
      <c r="F828" s="2" t="n">
        <v>21</v>
      </c>
      <c r="G828" s="2" t="n">
        <v>21</v>
      </c>
      <c r="H828" s="2" t="n">
        <v>41</v>
      </c>
      <c r="I828" s="2" t="n">
        <v>41</v>
      </c>
      <c r="J828" s="2" t="n">
        <v>62</v>
      </c>
      <c r="K828" s="2" t="n">
        <v>62</v>
      </c>
      <c r="L828" s="2" t="n">
        <v>0</v>
      </c>
      <c r="M828" s="2" t="n">
        <v>0</v>
      </c>
      <c r="N828" s="2" t="n">
        <v>62</v>
      </c>
      <c r="O828" s="2" t="n">
        <v>0</v>
      </c>
      <c r="P828" s="2" t="n">
        <v>0</v>
      </c>
      <c r="Q828" s="2" t="n">
        <v>310</v>
      </c>
      <c r="R828" s="2" t="n">
        <v>3430</v>
      </c>
      <c r="S828" s="2" t="n"/>
      <c r="T828" s="2">
        <f>IF(OR(S828="",R828=0),"",ROUND(S828*R828,2))</f>
        <v/>
      </c>
      <c r="U828" s="2" t="inlineStr"/>
    </row>
    <row r="829">
      <c r="A829" s="2" t="inlineStr">
        <is>
          <t>Q</t>
        </is>
      </c>
      <c r="B829" s="2" t="inlineStr">
        <is>
          <t>DRAINAGE SYSTEM</t>
        </is>
      </c>
      <c r="C829" s="2" t="inlineStr">
        <is>
          <t>N</t>
        </is>
      </c>
      <c r="D829" s="2" t="inlineStr">
        <is>
          <t>SS Flapper</t>
        </is>
      </c>
      <c r="E829" s="2" t="inlineStr">
        <is>
          <t>No</t>
        </is>
      </c>
      <c r="F829" s="2" t="n">
        <v>6</v>
      </c>
      <c r="G829" s="2" t="n">
        <v>6</v>
      </c>
      <c r="H829" s="2" t="n">
        <v>8</v>
      </c>
      <c r="I829" s="2" t="n">
        <v>8</v>
      </c>
      <c r="J829" s="2" t="n">
        <v>10</v>
      </c>
      <c r="K829" s="2" t="n">
        <v>10</v>
      </c>
      <c r="L829" s="2" t="n">
        <v>2</v>
      </c>
      <c r="M829" s="2" t="n">
        <v>2</v>
      </c>
      <c r="N829" s="2" t="n">
        <v>6</v>
      </c>
      <c r="O829" s="2" t="n">
        <v>1</v>
      </c>
      <c r="P829" s="2" t="n">
        <v>0</v>
      </c>
      <c r="Q829" s="2" t="n">
        <v>59</v>
      </c>
      <c r="R829" s="2" t="n">
        <v>775</v>
      </c>
      <c r="S829" s="2" t="n"/>
      <c r="T829" s="2">
        <f>IF(OR(S829="",R829=0),"",ROUND(S829*R829,2))</f>
        <v/>
      </c>
      <c r="U829" s="2" t="inlineStr"/>
    </row>
    <row r="830">
      <c r="A830" s="2" t="inlineStr">
        <is>
          <t>Q</t>
        </is>
      </c>
      <c r="B830" s="2" t="inlineStr">
        <is>
          <t>DRAINAGE SYSTEM</t>
        </is>
      </c>
      <c r="C830" s="2" t="inlineStr">
        <is>
          <t>N</t>
        </is>
      </c>
      <c r="D830" s="2" t="inlineStr">
        <is>
          <t>Pressure Break Chamber, (Ref. PBC)</t>
        </is>
      </c>
      <c r="E830" s="2" t="inlineStr">
        <is>
          <t>No</t>
        </is>
      </c>
      <c r="F830" s="2" t="n">
        <v>0</v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1</v>
      </c>
      <c r="O830" s="2" t="n">
        <v>0</v>
      </c>
      <c r="P830" s="2" t="n">
        <v>0</v>
      </c>
      <c r="Q830" s="2" t="n">
        <v>1</v>
      </c>
      <c r="R830" s="2" t="n">
        <v>1</v>
      </c>
      <c r="S830" s="2" t="n"/>
      <c r="T830" s="2">
        <f>IF(OR(S830="",R830=0),"",ROUND(S830*R830,2))</f>
        <v/>
      </c>
      <c r="U830" s="2" t="inlineStr"/>
    </row>
    <row r="831">
      <c r="A831" s="2" t="inlineStr">
        <is>
          <t>Q</t>
        </is>
      </c>
      <c r="B831" s="2" t="inlineStr">
        <is>
          <t>DRAINAGE SYSTEM</t>
        </is>
      </c>
      <c r="C831" s="2" t="inlineStr">
        <is>
          <t>N</t>
        </is>
      </c>
      <c r="D831" s="2" t="inlineStr">
        <is>
          <t>SW-202, Undermount Bathtub</t>
        </is>
      </c>
      <c r="E831" s="2" t="inlineStr">
        <is>
          <t>No</t>
        </is>
      </c>
      <c r="F831" s="2" t="n">
        <v>2</v>
      </c>
      <c r="G831" s="2" t="n">
        <v>2</v>
      </c>
      <c r="H831" s="2" t="n">
        <v>2</v>
      </c>
      <c r="I831" s="2" t="n">
        <v>2</v>
      </c>
      <c r="J831" s="2" t="n">
        <v>2</v>
      </c>
      <c r="K831" s="2" t="n">
        <v>2</v>
      </c>
      <c r="L831" s="2" t="n">
        <v>1</v>
      </c>
      <c r="M831" s="2" t="n">
        <v>1</v>
      </c>
      <c r="N831" s="2" t="n">
        <v>0</v>
      </c>
      <c r="O831" s="2" t="n">
        <v>0</v>
      </c>
      <c r="P831" s="2" t="n">
        <v>0</v>
      </c>
      <c r="Q831" s="2" t="n">
        <v>14</v>
      </c>
      <c r="R831" s="2" t="n">
        <v>221</v>
      </c>
      <c r="S831" s="2" t="n"/>
      <c r="T831" s="2">
        <f>IF(OR(S831="",R831=0),"",ROUND(S831*R831,2))</f>
        <v/>
      </c>
      <c r="U831" s="2" t="inlineStr"/>
    </row>
    <row r="832">
      <c r="A832" s="2" t="inlineStr">
        <is>
          <t>Q</t>
        </is>
      </c>
      <c r="B832" s="2" t="inlineStr">
        <is>
          <t>DRAINAGE SYSTEM</t>
        </is>
      </c>
      <c r="C832" s="2" t="inlineStr">
        <is>
          <t>P</t>
        </is>
      </c>
      <c r="D832" s="2" t="inlineStr">
        <is>
          <t>40mm diameter</t>
        </is>
      </c>
      <c r="E832" s="2" t="inlineStr">
        <is>
          <t>m</t>
        </is>
      </c>
      <c r="F832" s="2" t="n">
        <v>0</v>
      </c>
      <c r="G832" s="2" t="n">
        <v>0</v>
      </c>
      <c r="H832" s="2" t="n">
        <v>0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9</v>
      </c>
      <c r="O832" s="2" t="n">
        <v>0</v>
      </c>
      <c r="P832" s="2" t="n">
        <v>0</v>
      </c>
      <c r="Q832" s="2" t="n">
        <v>9</v>
      </c>
      <c r="R832" s="2" t="n">
        <v>9</v>
      </c>
      <c r="S832" s="2" t="n"/>
      <c r="T832" s="2">
        <f>IF(OR(S832="",R832=0),"",ROUND(S832*R832,2))</f>
        <v/>
      </c>
      <c r="U832" s="2" t="inlineStr"/>
    </row>
    <row r="833">
      <c r="A833" s="2" t="inlineStr">
        <is>
          <t>Q</t>
        </is>
      </c>
      <c r="B833" s="2" t="inlineStr">
        <is>
          <t>DRAINAGE SYSTEM</t>
        </is>
      </c>
      <c r="C833" s="2" t="inlineStr">
        <is>
          <t>P</t>
        </is>
      </c>
      <c r="D833" s="2" t="inlineStr">
        <is>
          <t>Gully Trap, (Ref. GT)</t>
        </is>
      </c>
      <c r="E833" s="2" t="inlineStr">
        <is>
          <t>No</t>
        </is>
      </c>
      <c r="F833" s="2" t="n">
        <v>0</v>
      </c>
      <c r="G833" s="2" t="n">
        <v>0</v>
      </c>
      <c r="H833" s="2" t="n">
        <v>0</v>
      </c>
      <c r="I833" s="2" t="n">
        <v>0</v>
      </c>
      <c r="J833" s="2" t="n">
        <v>0</v>
      </c>
      <c r="K833" s="2" t="n">
        <v>0</v>
      </c>
      <c r="L833" s="2" t="n">
        <v>0</v>
      </c>
      <c r="M833" s="2" t="n">
        <v>0</v>
      </c>
      <c r="N833" s="2" t="n">
        <v>4</v>
      </c>
      <c r="O833" s="2" t="n">
        <v>1</v>
      </c>
      <c r="P833" s="2" t="n">
        <v>0</v>
      </c>
      <c r="Q833" s="2" t="n">
        <v>5</v>
      </c>
      <c r="R833" s="2" t="n">
        <v>5</v>
      </c>
      <c r="S833" s="2" t="n"/>
      <c r="T833" s="2">
        <f>IF(OR(S833="",R833=0),"",ROUND(S833*R833,2))</f>
        <v/>
      </c>
      <c r="U833" s="2" t="inlineStr"/>
    </row>
    <row r="834">
      <c r="A834" s="2" t="inlineStr">
        <is>
          <t>Q</t>
        </is>
      </c>
      <c r="B834" s="2" t="inlineStr">
        <is>
          <t>DRAINAGE SYSTEM</t>
        </is>
      </c>
      <c r="C834" s="2" t="inlineStr">
        <is>
          <t>P</t>
        </is>
      </c>
      <c r="D834" s="2" t="inlineStr">
        <is>
          <t>SW-203, Floor Standing Water Closet</t>
        </is>
      </c>
      <c r="E834" s="2" t="inlineStr">
        <is>
          <t>No</t>
        </is>
      </c>
      <c r="F834" s="2" t="n">
        <v>4</v>
      </c>
      <c r="G834" s="2" t="n">
        <v>4</v>
      </c>
      <c r="H834" s="2" t="n">
        <v>6</v>
      </c>
      <c r="I834" s="2" t="n">
        <v>6</v>
      </c>
      <c r="J834" s="2" t="n">
        <v>8</v>
      </c>
      <c r="K834" s="2" t="n">
        <v>8</v>
      </c>
      <c r="L834" s="2" t="n">
        <v>1</v>
      </c>
      <c r="M834" s="2" t="n">
        <v>1</v>
      </c>
      <c r="N834" s="2" t="n">
        <v>0</v>
      </c>
      <c r="O834" s="2" t="n">
        <v>0</v>
      </c>
      <c r="P834" s="2" t="n">
        <v>0</v>
      </c>
      <c r="Q834" s="2" t="n">
        <v>38</v>
      </c>
      <c r="R834" s="2" t="n">
        <v>547</v>
      </c>
      <c r="S834" s="2" t="n"/>
      <c r="T834" s="2">
        <f>IF(OR(S834="",R834=0),"",ROUND(S834*R834,2))</f>
        <v/>
      </c>
      <c r="U834" s="2" t="inlineStr"/>
    </row>
    <row r="835">
      <c r="A835" s="2" t="inlineStr">
        <is>
          <t>Q</t>
        </is>
      </c>
      <c r="B835" s="2" t="inlineStr">
        <is>
          <t>DRAINAGE SYSTEM</t>
        </is>
      </c>
      <c r="C835" s="2" t="inlineStr">
        <is>
          <t>P</t>
        </is>
      </c>
      <c r="D835" s="2" t="inlineStr">
        <is>
          <t>SW-300, Sensor Flush Plate</t>
        </is>
      </c>
      <c r="E835" s="2" t="inlineStr">
        <is>
          <t>No</t>
        </is>
      </c>
      <c r="F835" s="2" t="n">
        <v>0</v>
      </c>
      <c r="G835" s="2" t="n">
        <v>0</v>
      </c>
      <c r="H835" s="2" t="n">
        <v>0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0</v>
      </c>
      <c r="N835" s="2" t="n">
        <v>9</v>
      </c>
      <c r="O835" s="2" t="n">
        <v>0</v>
      </c>
      <c r="P835" s="2" t="n">
        <v>0</v>
      </c>
      <c r="Q835" s="2" t="n">
        <v>9</v>
      </c>
      <c r="R835" s="2" t="n">
        <v>9</v>
      </c>
      <c r="S835" s="2" t="n"/>
      <c r="T835" s="2">
        <f>IF(OR(S835="",R835=0),"",ROUND(S835*R835,2))</f>
        <v/>
      </c>
      <c r="U835" s="2" t="inlineStr"/>
    </row>
    <row r="836">
      <c r="A836" s="2" t="inlineStr">
        <is>
          <t>Q</t>
        </is>
      </c>
      <c r="B836" s="2" t="inlineStr">
        <is>
          <t>DRAINAGE SYSTEM</t>
        </is>
      </c>
      <c r="C836" s="2" t="inlineStr">
        <is>
          <t>Q</t>
        </is>
      </c>
      <c r="D836" s="2" t="inlineStr">
        <is>
          <t>32mm diameter (U/G)</t>
        </is>
      </c>
      <c r="E836" s="2" t="inlineStr">
        <is>
          <t>m</t>
        </is>
      </c>
      <c r="F836" s="2" t="n">
        <v>0</v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15</v>
      </c>
      <c r="O836" s="2" t="n">
        <v>0</v>
      </c>
      <c r="P836" s="2" t="n">
        <v>0</v>
      </c>
      <c r="Q836" s="2" t="n">
        <v>15</v>
      </c>
      <c r="R836" s="2" t="n">
        <v>15</v>
      </c>
      <c r="S836" s="2" t="n"/>
      <c r="T836" s="2">
        <f>IF(OR(S836="",R836=0),"",ROUND(S836*R836,2))</f>
        <v/>
      </c>
      <c r="U836" s="2" t="inlineStr"/>
    </row>
    <row r="837">
      <c r="A837" s="2" t="inlineStr">
        <is>
          <t>Q</t>
        </is>
      </c>
      <c r="B837" s="2" t="inlineStr">
        <is>
          <t>DRAINAGE SYSTEM</t>
        </is>
      </c>
      <c r="C837" s="2" t="inlineStr">
        <is>
          <t>Q</t>
        </is>
      </c>
      <c r="D837" s="2" t="inlineStr">
        <is>
          <t>Sump Pit, 1.5m x 1.5m x 1.5m</t>
        </is>
      </c>
      <c r="E837" s="2" t="inlineStr">
        <is>
          <t>No</t>
        </is>
      </c>
      <c r="F837" s="2" t="n">
        <v>0</v>
      </c>
      <c r="G837" s="2" t="n">
        <v>0</v>
      </c>
      <c r="H837" s="2" t="n">
        <v>0</v>
      </c>
      <c r="I837" s="2" t="n">
        <v>0</v>
      </c>
      <c r="J837" s="2" t="n">
        <v>0</v>
      </c>
      <c r="K837" s="2" t="n">
        <v>0</v>
      </c>
      <c r="L837" s="2" t="n">
        <v>0</v>
      </c>
      <c r="M837" s="2" t="n">
        <v>0</v>
      </c>
      <c r="N837" s="2" t="n">
        <v>1</v>
      </c>
      <c r="O837" s="2" t="n">
        <v>0</v>
      </c>
      <c r="P837" s="2" t="n">
        <v>0</v>
      </c>
      <c r="Q837" s="2" t="n">
        <v>1</v>
      </c>
      <c r="R837" s="2" t="n">
        <v>1</v>
      </c>
      <c r="S837" s="2" t="n"/>
      <c r="T837" s="2">
        <f>IF(OR(S837="",R837=0),"",ROUND(S837*R837,2))</f>
        <v/>
      </c>
      <c r="U837" s="2" t="inlineStr"/>
    </row>
    <row r="838">
      <c r="A838" s="2" t="inlineStr">
        <is>
          <t>Q</t>
        </is>
      </c>
      <c r="B838" s="2" t="inlineStr">
        <is>
          <t>DRAINAGE SYSTEM</t>
        </is>
      </c>
      <c r="C838" s="2" t="inlineStr">
        <is>
          <t>R</t>
        </is>
      </c>
      <c r="D838" s="2" t="inlineStr">
        <is>
          <t>40mm diameter (U/G)</t>
        </is>
      </c>
      <c r="E838" s="2" t="inlineStr">
        <is>
          <t>m</t>
        </is>
      </c>
      <c r="F838" s="2" t="n">
        <v>0</v>
      </c>
      <c r="G838" s="2" t="n">
        <v>0</v>
      </c>
      <c r="H838" s="2" t="n">
        <v>0</v>
      </c>
      <c r="I838" s="2" t="n">
        <v>0</v>
      </c>
      <c r="J838" s="2" t="n">
        <v>0</v>
      </c>
      <c r="K838" s="2" t="n">
        <v>0</v>
      </c>
      <c r="L838" s="2" t="n">
        <v>0</v>
      </c>
      <c r="M838" s="2" t="n">
        <v>0</v>
      </c>
      <c r="N838" s="2" t="n">
        <v>2</v>
      </c>
      <c r="O838" s="2" t="n">
        <v>0</v>
      </c>
      <c r="P838" s="2" t="n">
        <v>0</v>
      </c>
      <c r="Q838" s="2" t="n">
        <v>2</v>
      </c>
      <c r="R838" s="2" t="n">
        <v>2</v>
      </c>
      <c r="S838" s="2" t="n"/>
      <c r="T838" s="2">
        <f>IF(OR(S838="",R838=0),"",ROUND(S838*R838,2))</f>
        <v/>
      </c>
      <c r="U838" s="2" t="inlineStr"/>
    </row>
    <row r="839">
      <c r="A839" s="2" t="inlineStr">
        <is>
          <t>Q</t>
        </is>
      </c>
      <c r="B839" s="2" t="inlineStr">
        <is>
          <t>DRAINAGE SYSTEM</t>
        </is>
      </c>
      <c r="C839" s="2" t="inlineStr">
        <is>
          <t>R</t>
        </is>
      </c>
      <c r="D839" s="2" t="inlineStr">
        <is>
          <t>1025mm Length</t>
        </is>
      </c>
      <c r="E839" s="2" t="inlineStr">
        <is>
          <t>No</t>
        </is>
      </c>
      <c r="F839" s="2" t="n">
        <v>0</v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0</v>
      </c>
      <c r="N839" s="2" t="n">
        <v>2</v>
      </c>
      <c r="O839" s="2" t="n">
        <v>0</v>
      </c>
      <c r="P839" s="2" t="n">
        <v>0</v>
      </c>
      <c r="Q839" s="2" t="n">
        <v>2</v>
      </c>
      <c r="R839" s="2" t="n">
        <v>2</v>
      </c>
      <c r="S839" s="2" t="n"/>
      <c r="T839" s="2">
        <f>IF(OR(S839="",R839=0),"",ROUND(S839*R839,2))</f>
        <v/>
      </c>
      <c r="U839" s="2" t="inlineStr"/>
    </row>
    <row r="840">
      <c r="A840" s="2" t="inlineStr">
        <is>
          <t>Q</t>
        </is>
      </c>
      <c r="B840" s="2" t="inlineStr">
        <is>
          <t>DRAINAGE SYSTEM</t>
        </is>
      </c>
      <c r="C840" s="2" t="inlineStr">
        <is>
          <t>R</t>
        </is>
      </c>
      <c r="D840" s="2" t="inlineStr">
        <is>
          <t>SW-205, Shower Tray</t>
        </is>
      </c>
      <c r="E840" s="2" t="inlineStr">
        <is>
          <t>No</t>
        </is>
      </c>
      <c r="F840" s="2" t="n">
        <v>4</v>
      </c>
      <c r="G840" s="2" t="n">
        <v>4</v>
      </c>
      <c r="H840" s="2" t="n">
        <v>6</v>
      </c>
      <c r="I840" s="2" t="n">
        <v>6</v>
      </c>
      <c r="J840" s="2" t="n">
        <v>8</v>
      </c>
      <c r="K840" s="2" t="n">
        <v>8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  <c r="Q840" s="2" t="n">
        <v>36</v>
      </c>
      <c r="R840" s="2" t="n">
        <v>510</v>
      </c>
      <c r="S840" s="2" t="n"/>
      <c r="T840" s="2">
        <f>IF(OR(S840="",R840=0),"",ROUND(S840*R840,2))</f>
        <v/>
      </c>
      <c r="U840" s="2" t="inlineStr"/>
    </row>
    <row r="841">
      <c r="A841" s="2" t="inlineStr">
        <is>
          <t>Q</t>
        </is>
      </c>
      <c r="B841" s="2" t="inlineStr">
        <is>
          <t>DRAINAGE SYSTEM</t>
        </is>
      </c>
      <c r="C841" s="2" t="inlineStr">
        <is>
          <t>S</t>
        </is>
      </c>
      <c r="D841" s="2" t="inlineStr">
        <is>
          <t>1500mm Length</t>
        </is>
      </c>
      <c r="E841" s="2" t="inlineStr">
        <is>
          <t>No</t>
        </is>
      </c>
      <c r="F841" s="2" t="n">
        <v>0</v>
      </c>
      <c r="G841" s="2" t="n">
        <v>0</v>
      </c>
      <c r="H841" s="2" t="n">
        <v>0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1</v>
      </c>
      <c r="O841" s="2" t="n">
        <v>0</v>
      </c>
      <c r="P841" s="2" t="n">
        <v>0</v>
      </c>
      <c r="Q841" s="2" t="n">
        <v>1</v>
      </c>
      <c r="R841" s="2" t="n">
        <v>1</v>
      </c>
      <c r="S841" s="2" t="n"/>
      <c r="T841" s="2">
        <f>IF(OR(S841="",R841=0),"",ROUND(S841*R841,2))</f>
        <v/>
      </c>
      <c r="U841" s="2" t="inlineStr"/>
    </row>
    <row r="842">
      <c r="A842" s="2" t="inlineStr">
        <is>
          <t>Q</t>
        </is>
      </c>
      <c r="B842" s="2" t="inlineStr">
        <is>
          <t>DRAINAGE SYSTEM</t>
        </is>
      </c>
      <c r="C842" s="2" t="inlineStr">
        <is>
          <t>S</t>
        </is>
      </c>
      <c r="D842" s="2" t="inlineStr">
        <is>
          <t>SW-300, Manual Flush Plate</t>
        </is>
      </c>
      <c r="E842" s="2" t="inlineStr">
        <is>
          <t>No</t>
        </is>
      </c>
      <c r="F842" s="2" t="n">
        <v>14</v>
      </c>
      <c r="G842" s="2" t="n">
        <v>14</v>
      </c>
      <c r="H842" s="2" t="n">
        <v>20</v>
      </c>
      <c r="I842" s="2" t="n">
        <v>20</v>
      </c>
      <c r="J842" s="2" t="n">
        <v>26</v>
      </c>
      <c r="K842" s="2" t="n">
        <v>26</v>
      </c>
      <c r="L842" s="2" t="n">
        <v>6</v>
      </c>
      <c r="M842" s="2" t="n">
        <v>6</v>
      </c>
      <c r="N842" s="2" t="n">
        <v>0</v>
      </c>
      <c r="O842" s="2" t="n">
        <v>0</v>
      </c>
      <c r="P842" s="2" t="n">
        <v>0</v>
      </c>
      <c r="Q842" s="2" t="n">
        <v>132</v>
      </c>
      <c r="R842" s="2" t="n">
        <v>1936</v>
      </c>
      <c r="S842" s="2" t="n"/>
      <c r="T842" s="2">
        <f>IF(OR(S842="",R842=0),"",ROUND(S842*R842,2))</f>
        <v/>
      </c>
      <c r="U842" s="2" t="inlineStr"/>
    </row>
    <row r="843">
      <c r="A843" s="2" t="inlineStr">
        <is>
          <t>Q</t>
        </is>
      </c>
      <c r="B843" s="2" t="inlineStr">
        <is>
          <t>DRAINAGE SYSTEM</t>
        </is>
      </c>
      <c r="C843" s="2" t="inlineStr">
        <is>
          <t>S</t>
        </is>
      </c>
      <c r="D843" s="2" t="inlineStr">
        <is>
          <t>Outdoor Shower</t>
        </is>
      </c>
      <c r="E843" s="2" t="inlineStr">
        <is>
          <t>No</t>
        </is>
      </c>
      <c r="F843" s="2" t="n">
        <v>0</v>
      </c>
      <c r="G843" s="2" t="n">
        <v>0</v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2</v>
      </c>
      <c r="O843" s="2" t="n">
        <v>0</v>
      </c>
      <c r="P843" s="2" t="n">
        <v>0</v>
      </c>
      <c r="Q843" s="2" t="n">
        <v>2</v>
      </c>
      <c r="R843" s="2" t="n">
        <v>2</v>
      </c>
      <c r="S843" s="2" t="n"/>
      <c r="T843" s="2">
        <f>IF(OR(S843="",R843=0),"",ROUND(S843*R843,2))</f>
        <v/>
      </c>
      <c r="U843" s="2" t="inlineStr"/>
    </row>
    <row r="844">
      <c r="A844" s="2" t="inlineStr">
        <is>
          <t>Q</t>
        </is>
      </c>
      <c r="B844" s="2" t="inlineStr">
        <is>
          <t>DRAINAGE SYSTEM</t>
        </is>
      </c>
      <c r="C844" s="2" t="inlineStr">
        <is>
          <t>T</t>
        </is>
      </c>
      <c r="D844" s="2" t="inlineStr">
        <is>
          <t>3000mm Length</t>
        </is>
      </c>
      <c r="E844" s="2" t="inlineStr">
        <is>
          <t>No</t>
        </is>
      </c>
      <c r="F844" s="2" t="n">
        <v>0</v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2</v>
      </c>
      <c r="O844" s="2" t="n">
        <v>0</v>
      </c>
      <c r="P844" s="2" t="n">
        <v>0</v>
      </c>
      <c r="Q844" s="2" t="n">
        <v>2</v>
      </c>
      <c r="R844" s="2" t="n">
        <v>2</v>
      </c>
      <c r="S844" s="2" t="n"/>
      <c r="T844" s="2">
        <f>IF(OR(S844="",R844=0),"",ROUND(S844*R844,2))</f>
        <v/>
      </c>
      <c r="U844" s="2" t="inlineStr"/>
    </row>
    <row r="845">
      <c r="A845" s="2" t="inlineStr">
        <is>
          <t>Q</t>
        </is>
      </c>
      <c r="B845" s="2" t="inlineStr">
        <is>
          <t>DRAINAGE SYSTEM</t>
        </is>
      </c>
      <c r="C845" s="2" t="inlineStr">
        <is>
          <t>U</t>
        </is>
      </c>
      <c r="D845" s="2" t="inlineStr">
        <is>
          <t>Sump Pump, 1.2 L/s @ 15m head (1D/1A)</t>
        </is>
      </c>
      <c r="E845" s="2" t="inlineStr">
        <is>
          <t>Set</t>
        </is>
      </c>
      <c r="F845" s="2" t="n">
        <v>0</v>
      </c>
      <c r="G845" s="2" t="n">
        <v>0</v>
      </c>
      <c r="H845" s="2" t="n">
        <v>0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1</v>
      </c>
      <c r="O845" s="2" t="n">
        <v>0</v>
      </c>
      <c r="P845" s="2" t="n">
        <v>0</v>
      </c>
      <c r="Q845" s="2" t="n">
        <v>1</v>
      </c>
      <c r="R845" s="2" t="n">
        <v>1</v>
      </c>
      <c r="S845" s="2" t="n"/>
      <c r="T845" s="2">
        <f>IF(OR(S845="",R845=0),"",ROUND(S845*R845,2))</f>
        <v/>
      </c>
      <c r="U845" s="2" t="inlineStr"/>
    </row>
    <row r="846">
      <c r="A846" s="2" t="inlineStr">
        <is>
          <t>Q</t>
        </is>
      </c>
      <c r="B846" s="2" t="inlineStr">
        <is>
          <t>DRAINAGE SYSTEM</t>
        </is>
      </c>
      <c r="C846" s="2" t="inlineStr">
        <is>
          <t>U</t>
        </is>
      </c>
      <c r="D846" s="2" t="inlineStr">
        <is>
          <t>SW-309, Linear Shower Drain Cover</t>
        </is>
      </c>
      <c r="E846" s="2" t="inlineStr">
        <is>
          <t>No</t>
        </is>
      </c>
      <c r="F846" s="2" t="n">
        <v>6</v>
      </c>
      <c r="G846" s="2" t="n">
        <v>6</v>
      </c>
      <c r="H846" s="2" t="n">
        <v>8</v>
      </c>
      <c r="I846" s="2" t="n">
        <v>8</v>
      </c>
      <c r="J846" s="2" t="n">
        <v>10</v>
      </c>
      <c r="K846" s="2" t="n">
        <v>10</v>
      </c>
      <c r="L846" s="2" t="n">
        <v>6</v>
      </c>
      <c r="M846" s="2" t="n">
        <v>6</v>
      </c>
      <c r="N846" s="2" t="n">
        <v>0</v>
      </c>
      <c r="O846" s="2" t="n">
        <v>0</v>
      </c>
      <c r="P846" s="2" t="n">
        <v>0</v>
      </c>
      <c r="Q846" s="2" t="n">
        <v>60</v>
      </c>
      <c r="R846" s="2" t="n">
        <v>916</v>
      </c>
      <c r="S846" s="2" t="n"/>
      <c r="T846" s="2">
        <f>IF(OR(S846="",R846=0),"",ROUND(S846*R846,2))</f>
        <v/>
      </c>
      <c r="U846" s="2" t="inlineStr"/>
    </row>
    <row r="847">
      <c r="A847" s="2" t="inlineStr">
        <is>
          <t>Q</t>
        </is>
      </c>
      <c r="B847" s="2" t="inlineStr">
        <is>
          <t>FIRE FIGHTING SYSTEM</t>
        </is>
      </c>
      <c r="C847" s="2" t="inlineStr">
        <is>
          <t>A</t>
        </is>
      </c>
      <c r="D847" s="2" t="inlineStr">
        <is>
          <t>25mm diameter (UG)</t>
        </is>
      </c>
      <c r="E847" s="2" t="inlineStr">
        <is>
          <t>m</t>
        </is>
      </c>
      <c r="F847" s="2" t="n">
        <v>0</v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46</v>
      </c>
      <c r="O847" s="2" t="n">
        <v>0</v>
      </c>
      <c r="P847" s="2" t="n">
        <v>0</v>
      </c>
      <c r="Q847" s="2" t="n">
        <v>46</v>
      </c>
      <c r="R847" s="2" t="n">
        <v>46</v>
      </c>
      <c r="S847" s="2" t="n"/>
      <c r="T847" s="2">
        <f>IF(OR(S847="",R847=0),"",ROUND(S847*R847,2))</f>
        <v/>
      </c>
      <c r="U847" s="2" t="inlineStr"/>
    </row>
    <row r="848">
      <c r="A848" s="2" t="inlineStr">
        <is>
          <t>Q</t>
        </is>
      </c>
      <c r="B848" s="2" t="inlineStr">
        <is>
          <t>FIRE FIGHTING SYSTEM</t>
        </is>
      </c>
      <c r="C848" s="2" t="inlineStr">
        <is>
          <t>B</t>
        </is>
      </c>
      <c r="D848" s="2" t="inlineStr">
        <is>
          <t>32mm diameter (UG)</t>
        </is>
      </c>
      <c r="E848" s="2" t="inlineStr">
        <is>
          <t>m</t>
        </is>
      </c>
      <c r="F848" s="2" t="n">
        <v>0</v>
      </c>
      <c r="G848" s="2" t="n">
        <v>0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17</v>
      </c>
      <c r="O848" s="2" t="n">
        <v>0</v>
      </c>
      <c r="P848" s="2" t="n">
        <v>0</v>
      </c>
      <c r="Q848" s="2" t="n">
        <v>17</v>
      </c>
      <c r="R848" s="2" t="n">
        <v>17</v>
      </c>
      <c r="S848" s="2" t="n"/>
      <c r="T848" s="2">
        <f>IF(OR(S848="",R848=0),"",ROUND(S848*R848,2))</f>
        <v/>
      </c>
      <c r="U848" s="2" t="inlineStr"/>
    </row>
    <row r="849">
      <c r="A849" s="2" t="inlineStr">
        <is>
          <t>Q</t>
        </is>
      </c>
      <c r="B849" s="2" t="inlineStr">
        <is>
          <t>FIRE FIGHTING SYSTEM</t>
        </is>
      </c>
      <c r="C849" s="2" t="inlineStr">
        <is>
          <t>C</t>
        </is>
      </c>
      <c r="D849" s="2" t="inlineStr">
        <is>
          <t>Allow pipeworks Connection from External Network</t>
        </is>
      </c>
      <c r="E849" s="2" t="inlineStr">
        <is>
          <t>Item</t>
        </is>
      </c>
      <c r="F849" s="2" t="n">
        <v>0</v>
      </c>
      <c r="G849" s="2" t="n">
        <v>0</v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1</v>
      </c>
      <c r="O849" s="2" t="n">
        <v>0</v>
      </c>
      <c r="P849" s="2" t="n">
        <v>0</v>
      </c>
      <c r="Q849" s="2" t="n">
        <v>1</v>
      </c>
      <c r="R849" s="2" t="n">
        <v>1</v>
      </c>
      <c r="S849" s="2" t="n"/>
      <c r="T849" s="2">
        <f>IF(OR(S849="",R849=0),"",ROUND(S849*R849,2))</f>
        <v/>
      </c>
      <c r="U849" s="2" t="inlineStr"/>
    </row>
    <row r="850">
      <c r="A850" s="2" t="inlineStr">
        <is>
          <t>Q</t>
        </is>
      </c>
      <c r="B850" s="2" t="inlineStr">
        <is>
          <t>FIRE FIGHTING SYSTEM</t>
        </is>
      </c>
      <c r="C850" s="2" t="inlineStr">
        <is>
          <t>D</t>
        </is>
      </c>
      <c r="D850" s="2" t="inlineStr">
        <is>
          <t>25mm diameter</t>
        </is>
      </c>
      <c r="E850" s="2" t="inlineStr">
        <is>
          <t>m</t>
        </is>
      </c>
      <c r="F850" s="2" t="n">
        <v>0</v>
      </c>
      <c r="G850" s="2" t="n">
        <v>0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6</v>
      </c>
      <c r="O850" s="2" t="n">
        <v>0</v>
      </c>
      <c r="P850" s="2" t="n">
        <v>0</v>
      </c>
      <c r="Q850" s="2" t="n">
        <v>6</v>
      </c>
      <c r="R850" s="2" t="n">
        <v>6</v>
      </c>
      <c r="S850" s="2" t="n"/>
      <c r="T850" s="2">
        <f>IF(OR(S850="",R850=0),"",ROUND(S850*R850,2))</f>
        <v/>
      </c>
      <c r="U850" s="2" t="inlineStr"/>
    </row>
    <row r="851">
      <c r="A851" s="2" t="inlineStr">
        <is>
          <t>Q</t>
        </is>
      </c>
      <c r="B851" s="2" t="inlineStr">
        <is>
          <t>FIRE FIGHTING SYSTEM</t>
        </is>
      </c>
      <c r="C851" s="2" t="inlineStr">
        <is>
          <t>E</t>
        </is>
      </c>
      <c r="D851" s="2" t="inlineStr">
        <is>
          <t>OS&amp;Y Valve, 32mm diameter</t>
        </is>
      </c>
      <c r="E851" s="2" t="inlineStr">
        <is>
          <t>No</t>
        </is>
      </c>
      <c r="F851" s="2" t="n">
        <v>0</v>
      </c>
      <c r="G851" s="2" t="n">
        <v>0</v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1</v>
      </c>
      <c r="O851" s="2" t="n">
        <v>0</v>
      </c>
      <c r="P851" s="2" t="n">
        <v>0</v>
      </c>
      <c r="Q851" s="2" t="n">
        <v>1</v>
      </c>
      <c r="R851" s="2" t="n">
        <v>1</v>
      </c>
      <c r="S851" s="2" t="n"/>
      <c r="T851" s="2">
        <f>IF(OR(S851="",R851=0),"",ROUND(S851*R851,2))</f>
        <v/>
      </c>
      <c r="U851" s="2" t="inlineStr"/>
    </row>
    <row r="852">
      <c r="A852" s="2" t="inlineStr">
        <is>
          <t>Q</t>
        </is>
      </c>
      <c r="B852" s="2" t="inlineStr">
        <is>
          <t>FIRE FIGHTING SYSTEM</t>
        </is>
      </c>
      <c r="C852" s="2" t="inlineStr">
        <is>
          <t>F</t>
        </is>
      </c>
      <c r="D852" s="2" t="inlineStr">
        <is>
          <t>Check Valve, 32mm diameter</t>
        </is>
      </c>
      <c r="E852" s="2" t="inlineStr">
        <is>
          <t>No</t>
        </is>
      </c>
      <c r="F852" s="2" t="n">
        <v>0</v>
      </c>
      <c r="G852" s="2" t="n">
        <v>0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1</v>
      </c>
      <c r="O852" s="2" t="n">
        <v>0</v>
      </c>
      <c r="P852" s="2" t="n">
        <v>0</v>
      </c>
      <c r="Q852" s="2" t="n">
        <v>1</v>
      </c>
      <c r="R852" s="2" t="n">
        <v>1</v>
      </c>
      <c r="S852" s="2" t="n"/>
      <c r="T852" s="2">
        <f>IF(OR(S852="",R852=0),"",ROUND(S852*R852,2))</f>
        <v/>
      </c>
      <c r="U852" s="2" t="inlineStr"/>
    </row>
    <row r="853">
      <c r="A853" s="2" t="inlineStr">
        <is>
          <t>Q</t>
        </is>
      </c>
      <c r="B853" s="2" t="inlineStr">
        <is>
          <t>FIRE FIGHTING SYSTEM</t>
        </is>
      </c>
      <c r="C853" s="2" t="inlineStr">
        <is>
          <t>G</t>
        </is>
      </c>
      <c r="D853" s="2" t="inlineStr">
        <is>
          <t>Valve Chamber with PRS, 32mm diameter</t>
        </is>
      </c>
      <c r="E853" s="2" t="inlineStr">
        <is>
          <t>No</t>
        </is>
      </c>
      <c r="F853" s="2" t="n">
        <v>0</v>
      </c>
      <c r="G853" s="2" t="n">
        <v>0</v>
      </c>
      <c r="H853" s="2" t="n">
        <v>0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1</v>
      </c>
      <c r="O853" s="2" t="n">
        <v>0</v>
      </c>
      <c r="P853" s="2" t="n">
        <v>0</v>
      </c>
      <c r="Q853" s="2" t="n">
        <v>1</v>
      </c>
      <c r="R853" s="2" t="n">
        <v>1</v>
      </c>
      <c r="S853" s="2" t="n"/>
      <c r="T853" s="2">
        <f>IF(OR(S853="",R853=0),"",ROUND(S853*R853,2))</f>
        <v/>
      </c>
      <c r="U853" s="2" t="inlineStr"/>
    </row>
    <row r="854">
      <c r="A854" s="2" t="inlineStr">
        <is>
          <t>Q</t>
        </is>
      </c>
      <c r="B854" s="2" t="inlineStr">
        <is>
          <t>FIRE FIGHTING SYSTEM</t>
        </is>
      </c>
      <c r="C854" s="2" t="inlineStr">
        <is>
          <t>H</t>
        </is>
      </c>
      <c r="D854" s="2" t="inlineStr">
        <is>
          <t>2.5kg Multi Purpose Dry Powder Fire Extinguisher</t>
        </is>
      </c>
      <c r="E854" s="2" t="inlineStr">
        <is>
          <t>No</t>
        </is>
      </c>
      <c r="F854" s="2" t="n">
        <v>4</v>
      </c>
      <c r="G854" s="2" t="n">
        <v>4</v>
      </c>
      <c r="H854" s="2" t="n">
        <v>6</v>
      </c>
      <c r="I854" s="2" t="n">
        <v>6</v>
      </c>
      <c r="J854" s="2" t="n">
        <v>8</v>
      </c>
      <c r="K854" s="2" t="n">
        <v>8</v>
      </c>
      <c r="L854" s="2" t="n">
        <v>1</v>
      </c>
      <c r="M854" s="2" t="n">
        <v>1</v>
      </c>
      <c r="N854" s="2" t="n">
        <v>0</v>
      </c>
      <c r="O854" s="2" t="n">
        <v>1</v>
      </c>
      <c r="P854" s="2" t="n">
        <v>0</v>
      </c>
      <c r="Q854" s="2" t="n">
        <v>39</v>
      </c>
      <c r="R854" s="2" t="n">
        <v>548</v>
      </c>
      <c r="S854" s="2" t="n"/>
      <c r="T854" s="2">
        <f>IF(OR(S854="",R854=0),"",ROUND(S854*R854,2))</f>
        <v/>
      </c>
      <c r="U854" s="2" t="inlineStr"/>
    </row>
    <row r="855">
      <c r="A855" s="2" t="inlineStr">
        <is>
          <t>Q</t>
        </is>
      </c>
      <c r="B855" s="2" t="inlineStr">
        <is>
          <t>FIRE FIGHTING SYSTEM</t>
        </is>
      </c>
      <c r="C855" s="2" t="inlineStr">
        <is>
          <t>J</t>
        </is>
      </c>
      <c r="D855" s="2" t="inlineStr">
        <is>
          <t>5 kg CO2 Fire Extinguisher</t>
        </is>
      </c>
      <c r="E855" s="2" t="inlineStr">
        <is>
          <t>No</t>
        </is>
      </c>
      <c r="F855" s="2" t="n">
        <v>0</v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2</v>
      </c>
      <c r="O855" s="2" t="n">
        <v>0</v>
      </c>
      <c r="P855" s="2" t="n">
        <v>0</v>
      </c>
      <c r="Q855" s="2" t="n">
        <v>2</v>
      </c>
      <c r="R855" s="2" t="n">
        <v>2</v>
      </c>
      <c r="S855" s="2" t="n"/>
      <c r="T855" s="2">
        <f>IF(OR(S855="",R855=0),"",ROUND(S855*R855,2))</f>
        <v/>
      </c>
      <c r="U855" s="2" t="inlineStr"/>
    </row>
    <row r="856">
      <c r="A856" s="2" t="inlineStr">
        <is>
          <t>Q</t>
        </is>
      </c>
      <c r="B856" s="2" t="inlineStr">
        <is>
          <t>FIRE FIGHTING SYSTEM</t>
        </is>
      </c>
      <c r="C856" s="2" t="inlineStr">
        <is>
          <t>K</t>
        </is>
      </c>
      <c r="D856" s="2" t="inlineStr">
        <is>
          <t>Ref. FHC</t>
        </is>
      </c>
      <c r="E856" s="2" t="inlineStr">
        <is>
          <t>No</t>
        </is>
      </c>
      <c r="F856" s="2" t="n">
        <v>0</v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</v>
      </c>
      <c r="N856" s="2" t="n">
        <v>2</v>
      </c>
      <c r="O856" s="2" t="n">
        <v>0</v>
      </c>
      <c r="P856" s="2" t="n">
        <v>0</v>
      </c>
      <c r="Q856" s="2" t="n">
        <v>2</v>
      </c>
      <c r="R856" s="2" t="n">
        <v>2</v>
      </c>
      <c r="S856" s="2" t="n"/>
      <c r="T856" s="2">
        <f>IF(OR(S856="",R856=0),"",ROUND(S856*R856,2))</f>
        <v/>
      </c>
      <c r="U856" s="2" t="inlineStr"/>
    </row>
    <row r="857">
      <c r="A857" s="2" t="inlineStr">
        <is>
          <t>Q</t>
        </is>
      </c>
      <c r="B857" s="2" t="inlineStr">
        <is>
          <t>INSTALLATIONS</t>
        </is>
      </c>
      <c r="C857" s="2" t="inlineStr">
        <is>
          <t>A</t>
        </is>
      </c>
      <c r="D857" s="2" t="inlineStr">
        <is>
          <t>Supply air duct</t>
        </is>
      </c>
      <c r="E857" s="2" t="inlineStr">
        <is>
          <t>m²</t>
        </is>
      </c>
      <c r="F857" s="2" t="n">
        <v>130</v>
      </c>
      <c r="G857" s="2" t="n">
        <v>130</v>
      </c>
      <c r="H857" s="2" t="n">
        <v>180</v>
      </c>
      <c r="I857" s="2" t="n">
        <v>180</v>
      </c>
      <c r="J857" s="2" t="n">
        <v>229</v>
      </c>
      <c r="K857" s="2" t="n">
        <v>229</v>
      </c>
      <c r="L857" s="2" t="n">
        <v>77</v>
      </c>
      <c r="M857" s="2" t="n">
        <v>77</v>
      </c>
      <c r="N857" s="2" t="n">
        <v>119</v>
      </c>
      <c r="O857" s="2" t="n">
        <v>0</v>
      </c>
      <c r="P857" s="2" t="n">
        <v>0</v>
      </c>
      <c r="Q857" s="2" t="n">
        <v>1351</v>
      </c>
      <c r="R857" s="2" t="n">
        <v>18462</v>
      </c>
      <c r="S857" s="2" t="n"/>
      <c r="T857" s="2">
        <f>IF(OR(S857="",R857=0),"",ROUND(S857*R857,2))</f>
        <v/>
      </c>
      <c r="U857" s="2" t="inlineStr"/>
    </row>
    <row r="858">
      <c r="A858" s="2" t="inlineStr">
        <is>
          <t>Q</t>
        </is>
      </c>
      <c r="B858" s="2" t="inlineStr">
        <is>
          <t>INSTALLATIONS</t>
        </is>
      </c>
      <c r="C858" s="2" t="inlineStr">
        <is>
          <t>A</t>
        </is>
      </c>
      <c r="D858" s="2" t="inlineStr">
        <is>
          <t>100 mm diameter</t>
        </is>
      </c>
      <c r="E858" s="2" t="inlineStr">
        <is>
          <t>m</t>
        </is>
      </c>
      <c r="F858" s="2" t="n">
        <v>20</v>
      </c>
      <c r="G858" s="2" t="n">
        <v>20</v>
      </c>
      <c r="H858" s="2" t="n">
        <v>30</v>
      </c>
      <c r="I858" s="2" t="n">
        <v>30</v>
      </c>
      <c r="J858" s="2" t="n">
        <v>40</v>
      </c>
      <c r="K858" s="2" t="n">
        <v>40</v>
      </c>
      <c r="L858" s="2" t="n">
        <v>8</v>
      </c>
      <c r="M858" s="2" t="n">
        <v>8</v>
      </c>
      <c r="N858" s="2" t="n">
        <v>0</v>
      </c>
      <c r="O858" s="2" t="n">
        <v>0</v>
      </c>
      <c r="P858" s="2" t="n">
        <v>0</v>
      </c>
      <c r="Q858" s="2" t="n">
        <v>196</v>
      </c>
      <c r="R858" s="2" t="n">
        <v>2846</v>
      </c>
      <c r="S858" s="2" t="n"/>
      <c r="T858" s="2">
        <f>IF(OR(S858="",R858=0),"",ROUND(S858*R858,2))</f>
        <v/>
      </c>
      <c r="U858" s="2" t="inlineStr"/>
    </row>
    <row r="859">
      <c r="A859" s="2" t="inlineStr">
        <is>
          <t>Q</t>
        </is>
      </c>
      <c r="B859" s="2" t="inlineStr">
        <is>
          <t>INSTALLATIONS</t>
        </is>
      </c>
      <c r="C859" s="2" t="inlineStr">
        <is>
          <t>A</t>
        </is>
      </c>
      <c r="D859" s="2" t="inlineStr">
        <is>
          <t>SLBG-01, 1000mm L x 100mm H</t>
        </is>
      </c>
      <c r="E859" s="2" t="inlineStr">
        <is>
          <t>No</t>
        </is>
      </c>
      <c r="F859" s="2" t="n">
        <v>6</v>
      </c>
      <c r="G859" s="2" t="n">
        <v>6</v>
      </c>
      <c r="H859" s="2" t="n">
        <v>8</v>
      </c>
      <c r="I859" s="2" t="n">
        <v>8</v>
      </c>
      <c r="J859" s="2" t="n">
        <v>10</v>
      </c>
      <c r="K859" s="2" t="n">
        <v>10</v>
      </c>
      <c r="L859" s="2" t="n">
        <v>0</v>
      </c>
      <c r="M859" s="2" t="n">
        <v>0</v>
      </c>
      <c r="N859" s="2" t="n">
        <v>0</v>
      </c>
      <c r="O859" s="2" t="n">
        <v>0</v>
      </c>
      <c r="P859" s="2" t="n">
        <v>0</v>
      </c>
      <c r="Q859" s="2" t="n">
        <v>48</v>
      </c>
      <c r="R859" s="2" t="n">
        <v>694</v>
      </c>
      <c r="S859" s="2" t="n"/>
      <c r="T859" s="2">
        <f>IF(OR(S859="",R859=0),"",ROUND(S859*R859,2))</f>
        <v/>
      </c>
      <c r="U859" s="2" t="inlineStr"/>
    </row>
    <row r="860">
      <c r="A860" s="2" t="inlineStr">
        <is>
          <t>Q</t>
        </is>
      </c>
      <c r="B860" s="2" t="inlineStr">
        <is>
          <t>INSTALLATIONS</t>
        </is>
      </c>
      <c r="C860" s="2" t="inlineStr">
        <is>
          <t>A</t>
        </is>
      </c>
      <c r="D860" s="2" t="inlineStr">
        <is>
          <t>SG-01, 300mm x 150mm</t>
        </is>
      </c>
      <c r="E860" s="2" t="inlineStr">
        <is>
          <t>No</t>
        </is>
      </c>
      <c r="F860" s="2" t="n">
        <v>0</v>
      </c>
      <c r="G860" s="2" t="n">
        <v>0</v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1</v>
      </c>
      <c r="M860" s="2" t="n">
        <v>1</v>
      </c>
      <c r="N860" s="2" t="n">
        <v>0</v>
      </c>
      <c r="O860" s="2" t="n">
        <v>0</v>
      </c>
      <c r="P860" s="2" t="n">
        <v>0</v>
      </c>
      <c r="Q860" s="2" t="n">
        <v>2</v>
      </c>
      <c r="R860" s="2" t="n">
        <v>37</v>
      </c>
      <c r="S860" s="2" t="n"/>
      <c r="T860" s="2">
        <f>IF(OR(S860="",R860=0),"",ROUND(S860*R860,2))</f>
        <v/>
      </c>
      <c r="U860" s="2" t="inlineStr"/>
    </row>
    <row r="861">
      <c r="A861" s="2" t="inlineStr">
        <is>
          <t>Q</t>
        </is>
      </c>
      <c r="B861" s="2" t="inlineStr">
        <is>
          <t>INSTALLATIONS</t>
        </is>
      </c>
      <c r="C861" s="2" t="inlineStr">
        <is>
          <t>A</t>
        </is>
      </c>
      <c r="D861" s="2" t="inlineStr">
        <is>
          <t>ELSD-01, 1-Slot x 500mm L</t>
        </is>
      </c>
      <c r="E861" s="2" t="inlineStr">
        <is>
          <t>No</t>
        </is>
      </c>
      <c r="F861" s="2" t="n">
        <v>2</v>
      </c>
      <c r="G861" s="2" t="n">
        <v>2</v>
      </c>
      <c r="H861" s="2" t="n">
        <v>4</v>
      </c>
      <c r="I861" s="2" t="n">
        <v>4</v>
      </c>
      <c r="J861" s="2" t="n">
        <v>6</v>
      </c>
      <c r="K861" s="2" t="n">
        <v>6</v>
      </c>
      <c r="L861" s="2" t="n">
        <v>0</v>
      </c>
      <c r="M861" s="2" t="n">
        <v>0</v>
      </c>
      <c r="N861" s="2" t="n">
        <v>0</v>
      </c>
      <c r="O861" s="2" t="n">
        <v>0</v>
      </c>
      <c r="P861" s="2" t="n">
        <v>0</v>
      </c>
      <c r="Q861" s="2" t="n">
        <v>24</v>
      </c>
      <c r="R861" s="2" t="n">
        <v>326</v>
      </c>
      <c r="S861" s="2" t="n"/>
      <c r="T861" s="2">
        <f>IF(OR(S861="",R861=0),"",ROUND(S861*R861,2))</f>
        <v/>
      </c>
      <c r="U861" s="2" t="inlineStr"/>
    </row>
    <row r="862">
      <c r="A862" s="2" t="inlineStr">
        <is>
          <t>Q</t>
        </is>
      </c>
      <c r="B862" s="2" t="inlineStr">
        <is>
          <t>INSTALLATIONS</t>
        </is>
      </c>
      <c r="C862" s="2" t="inlineStr">
        <is>
          <t>A</t>
        </is>
      </c>
      <c r="D862" s="2" t="inlineStr">
        <is>
          <t>VCD, 100mm diameter</t>
        </is>
      </c>
      <c r="E862" s="2" t="inlineStr">
        <is>
          <t>No</t>
        </is>
      </c>
      <c r="F862" s="2" t="n">
        <v>12</v>
      </c>
      <c r="G862" s="2" t="n">
        <v>12</v>
      </c>
      <c r="H862" s="2" t="n">
        <v>16</v>
      </c>
      <c r="I862" s="2" t="n">
        <v>16</v>
      </c>
      <c r="J862" s="2" t="n">
        <v>20</v>
      </c>
      <c r="K862" s="2" t="n">
        <v>20</v>
      </c>
      <c r="L862" s="2" t="n">
        <v>3</v>
      </c>
      <c r="M862" s="2" t="n">
        <v>3</v>
      </c>
      <c r="N862" s="2" t="n">
        <v>0</v>
      </c>
      <c r="O862" s="2" t="n">
        <v>0</v>
      </c>
      <c r="P862" s="2" t="n">
        <v>0</v>
      </c>
      <c r="Q862" s="2" t="n">
        <v>102</v>
      </c>
      <c r="R862" s="2" t="n">
        <v>1499</v>
      </c>
      <c r="S862" s="2" t="n"/>
      <c r="T862" s="2">
        <f>IF(OR(S862="",R862=0),"",ROUND(S862*R862,2))</f>
        <v/>
      </c>
      <c r="U862" s="2" t="inlineStr"/>
    </row>
    <row r="863">
      <c r="A863" s="2" t="inlineStr">
        <is>
          <t>Q</t>
        </is>
      </c>
      <c r="B863" s="2" t="inlineStr">
        <is>
          <t>INSTALLATIONS</t>
        </is>
      </c>
      <c r="C863" s="2" t="inlineStr">
        <is>
          <t>A</t>
        </is>
      </c>
      <c r="D863" s="2" t="inlineStr">
        <is>
          <t>NRD, 150mm x 100mm</t>
        </is>
      </c>
      <c r="E863" s="2" t="inlineStr">
        <is>
          <t>No</t>
        </is>
      </c>
      <c r="F863" s="2" t="n">
        <v>0</v>
      </c>
      <c r="G863" s="2" t="n">
        <v>0</v>
      </c>
      <c r="H863" s="2" t="n">
        <v>0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</v>
      </c>
      <c r="N863" s="2" t="n">
        <v>0</v>
      </c>
      <c r="O863" s="2" t="n">
        <v>1</v>
      </c>
      <c r="P863" s="2" t="n">
        <v>0</v>
      </c>
      <c r="Q863" s="2" t="n">
        <v>1</v>
      </c>
      <c r="R863" s="2" t="n">
        <v>1</v>
      </c>
      <c r="S863" s="2" t="n"/>
      <c r="T863" s="2">
        <f>IF(OR(S863="",R863=0),"",ROUND(S863*R863,2))</f>
        <v/>
      </c>
      <c r="U863" s="2" t="inlineStr"/>
    </row>
    <row r="864">
      <c r="A864" s="2" t="inlineStr">
        <is>
          <t>Q</t>
        </is>
      </c>
      <c r="B864" s="2" t="inlineStr">
        <is>
          <t>INSTALLATIONS</t>
        </is>
      </c>
      <c r="C864" s="2" t="inlineStr">
        <is>
          <t>A</t>
        </is>
      </c>
      <c r="D864" s="2" t="inlineStr">
        <is>
          <t>3B-FCU-GF-01, 12.0 kW Total Cooling Capacity</t>
        </is>
      </c>
      <c r="E864" s="2" t="inlineStr">
        <is>
          <t>Set</t>
        </is>
      </c>
      <c r="F864" s="2" t="n">
        <v>2</v>
      </c>
      <c r="G864" s="2" t="n">
        <v>2</v>
      </c>
      <c r="H864" s="2" t="n">
        <v>4</v>
      </c>
      <c r="I864" s="2" t="n">
        <v>4</v>
      </c>
      <c r="J864" s="2" t="n">
        <v>6</v>
      </c>
      <c r="K864" s="2" t="n">
        <v>6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0</v>
      </c>
      <c r="Q864" s="2" t="n">
        <v>24</v>
      </c>
      <c r="R864" s="2" t="n">
        <v>326</v>
      </c>
      <c r="S864" s="2" t="n"/>
      <c r="T864" s="2">
        <f>IF(OR(S864="",R864=0),"",ROUND(S864*R864,2))</f>
        <v/>
      </c>
      <c r="U864" s="2" t="inlineStr"/>
    </row>
    <row r="865">
      <c r="A865" s="2" t="inlineStr">
        <is>
          <t>Q</t>
        </is>
      </c>
      <c r="B865" s="2" t="inlineStr">
        <is>
          <t>INSTALLATIONS</t>
        </is>
      </c>
      <c r="C865" s="2" t="inlineStr">
        <is>
          <t>A</t>
        </is>
      </c>
      <c r="D865" s="2" t="inlineStr">
        <is>
          <t>ERV-SB-01, 240 L/s</t>
        </is>
      </c>
      <c r="E865" s="2" t="inlineStr">
        <is>
          <t>Set</t>
        </is>
      </c>
      <c r="F865" s="2" t="n">
        <v>0</v>
      </c>
      <c r="G865" s="2" t="n">
        <v>0</v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0</v>
      </c>
      <c r="N865" s="2" t="n">
        <v>1</v>
      </c>
      <c r="O865" s="2" t="n">
        <v>0</v>
      </c>
      <c r="P865" s="2" t="n">
        <v>0</v>
      </c>
      <c r="Q865" s="2" t="n">
        <v>1</v>
      </c>
      <c r="R865" s="2" t="n">
        <v>1</v>
      </c>
      <c r="S865" s="2" t="n"/>
      <c r="T865" s="2">
        <f>IF(OR(S865="",R865=0),"",ROUND(S865*R865,2))</f>
        <v/>
      </c>
      <c r="U865" s="2" t="inlineStr"/>
    </row>
    <row r="866">
      <c r="A866" s="2" t="inlineStr">
        <is>
          <t>Q</t>
        </is>
      </c>
      <c r="B866" s="2" t="inlineStr">
        <is>
          <t>INSTALLATIONS</t>
        </is>
      </c>
      <c r="C866" s="2" t="inlineStr">
        <is>
          <t>AA</t>
        </is>
      </c>
      <c r="D866" s="2" t="inlineStr">
        <is>
          <t>FCU-GY-04, 9.7 kW Total Cooling Capacity</t>
        </is>
      </c>
      <c r="E866" s="2" t="inlineStr">
        <is>
          <t>Set</t>
        </is>
      </c>
      <c r="F866" s="2" t="n">
        <v>0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</v>
      </c>
      <c r="N866" s="2" t="n">
        <v>1</v>
      </c>
      <c r="O866" s="2" t="n">
        <v>0</v>
      </c>
      <c r="P866" s="2" t="n">
        <v>0</v>
      </c>
      <c r="Q866" s="2" t="n">
        <v>1</v>
      </c>
      <c r="R866" s="2" t="n">
        <v>1</v>
      </c>
      <c r="S866" s="2" t="n"/>
      <c r="T866" s="2">
        <f>IF(OR(S866="",R866=0),"",ROUND(S866*R866,2))</f>
        <v/>
      </c>
      <c r="U866" s="2" t="inlineStr"/>
    </row>
    <row r="867">
      <c r="A867" s="2" t="inlineStr">
        <is>
          <t>Q</t>
        </is>
      </c>
      <c r="B867" s="2" t="inlineStr">
        <is>
          <t>INSTALLATIONS</t>
        </is>
      </c>
      <c r="C867" s="2" t="inlineStr">
        <is>
          <t>AB</t>
        </is>
      </c>
      <c r="D867" s="2" t="inlineStr">
        <is>
          <t>FCU-YO-01, 9.5 kW Total Cooling Capacity</t>
        </is>
      </c>
      <c r="E867" s="2" t="inlineStr">
        <is>
          <t>Set</t>
        </is>
      </c>
      <c r="F867" s="2" t="n">
        <v>0</v>
      </c>
      <c r="G867" s="2" t="n">
        <v>0</v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1</v>
      </c>
      <c r="O867" s="2" t="n">
        <v>0</v>
      </c>
      <c r="P867" s="2" t="n">
        <v>0</v>
      </c>
      <c r="Q867" s="2" t="n">
        <v>1</v>
      </c>
      <c r="R867" s="2" t="n">
        <v>1</v>
      </c>
      <c r="S867" s="2" t="n"/>
      <c r="T867" s="2">
        <f>IF(OR(S867="",R867=0),"",ROUND(S867*R867,2))</f>
        <v/>
      </c>
      <c r="U867" s="2" t="inlineStr"/>
    </row>
    <row r="868">
      <c r="A868" s="2" t="inlineStr">
        <is>
          <t>Q</t>
        </is>
      </c>
      <c r="B868" s="2" t="inlineStr">
        <is>
          <t>INSTALLATIONS</t>
        </is>
      </c>
      <c r="C868" s="2" t="inlineStr">
        <is>
          <t>AC</t>
        </is>
      </c>
      <c r="D868" s="2" t="inlineStr">
        <is>
          <t>FCU-YO-02, 9.5 kW Total Cooling Capacity</t>
        </is>
      </c>
      <c r="E868" s="2" t="inlineStr">
        <is>
          <t>Set</t>
        </is>
      </c>
      <c r="F868" s="2" t="n">
        <v>0</v>
      </c>
      <c r="G868" s="2" t="n">
        <v>0</v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1</v>
      </c>
      <c r="O868" s="2" t="n">
        <v>0</v>
      </c>
      <c r="P868" s="2" t="n">
        <v>0</v>
      </c>
      <c r="Q868" s="2" t="n">
        <v>1</v>
      </c>
      <c r="R868" s="2" t="n">
        <v>1</v>
      </c>
      <c r="S868" s="2" t="n"/>
      <c r="T868" s="2">
        <f>IF(OR(S868="",R868=0),"",ROUND(S868*R868,2))</f>
        <v/>
      </c>
      <c r="U868" s="2" t="inlineStr"/>
    </row>
    <row r="869">
      <c r="A869" s="2" t="inlineStr">
        <is>
          <t>Q</t>
        </is>
      </c>
      <c r="B869" s="2" t="inlineStr">
        <is>
          <t>INSTALLATIONS</t>
        </is>
      </c>
      <c r="C869" s="2" t="inlineStr">
        <is>
          <t>AD</t>
        </is>
      </c>
      <c r="D869" s="2" t="inlineStr">
        <is>
          <t>FCU-SB-01, 6.1 kW Total Cooling Capacity</t>
        </is>
      </c>
      <c r="E869" s="2" t="inlineStr">
        <is>
          <t>Set</t>
        </is>
      </c>
      <c r="F869" s="2" t="n">
        <v>0</v>
      </c>
      <c r="G869" s="2" t="n">
        <v>0</v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1</v>
      </c>
      <c r="O869" s="2" t="n">
        <v>0</v>
      </c>
      <c r="P869" s="2" t="n">
        <v>0</v>
      </c>
      <c r="Q869" s="2" t="n">
        <v>1</v>
      </c>
      <c r="R869" s="2" t="n">
        <v>1</v>
      </c>
      <c r="S869" s="2" t="n"/>
      <c r="T869" s="2">
        <f>IF(OR(S869="",R869=0),"",ROUND(S869*R869,2))</f>
        <v/>
      </c>
      <c r="U869" s="2" t="inlineStr"/>
    </row>
    <row r="870">
      <c r="A870" s="2" t="inlineStr">
        <is>
          <t>Q</t>
        </is>
      </c>
      <c r="B870" s="2" t="inlineStr">
        <is>
          <t>INSTALLATIONS</t>
        </is>
      </c>
      <c r="C870" s="2" t="inlineStr">
        <is>
          <t>AE</t>
        </is>
      </c>
      <c r="D870" s="2" t="inlineStr">
        <is>
          <t>FCU-SB-02, 5.8 kW Total Cooling Capacity</t>
        </is>
      </c>
      <c r="E870" s="2" t="inlineStr">
        <is>
          <t>Set</t>
        </is>
      </c>
      <c r="F870" s="2" t="n">
        <v>0</v>
      </c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1</v>
      </c>
      <c r="O870" s="2" t="n">
        <v>0</v>
      </c>
      <c r="P870" s="2" t="n">
        <v>0</v>
      </c>
      <c r="Q870" s="2" t="n">
        <v>1</v>
      </c>
      <c r="R870" s="2" t="n">
        <v>1</v>
      </c>
      <c r="S870" s="2" t="n"/>
      <c r="T870" s="2">
        <f>IF(OR(S870="",R870=0),"",ROUND(S870*R870,2))</f>
        <v/>
      </c>
      <c r="U870" s="2" t="inlineStr"/>
    </row>
    <row r="871">
      <c r="A871" s="2" t="inlineStr">
        <is>
          <t>Q</t>
        </is>
      </c>
      <c r="B871" s="2" t="inlineStr">
        <is>
          <t>INSTALLATIONS</t>
        </is>
      </c>
      <c r="C871" s="2" t="inlineStr">
        <is>
          <t>AF</t>
        </is>
      </c>
      <c r="D871" s="2" t="inlineStr">
        <is>
          <t>FCU-SB-03, 2.7 kW Total Cooling Capacity</t>
        </is>
      </c>
      <c r="E871" s="2" t="inlineStr">
        <is>
          <t>Set</t>
        </is>
      </c>
      <c r="F871" s="2" t="n">
        <v>0</v>
      </c>
      <c r="G871" s="2" t="n">
        <v>0</v>
      </c>
      <c r="H871" s="2" t="n">
        <v>0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0</v>
      </c>
      <c r="N871" s="2" t="n">
        <v>1</v>
      </c>
      <c r="O871" s="2" t="n">
        <v>0</v>
      </c>
      <c r="P871" s="2" t="n">
        <v>0</v>
      </c>
      <c r="Q871" s="2" t="n">
        <v>1</v>
      </c>
      <c r="R871" s="2" t="n">
        <v>1</v>
      </c>
      <c r="S871" s="2" t="n"/>
      <c r="T871" s="2">
        <f>IF(OR(S871="",R871=0),"",ROUND(S871*R871,2))</f>
        <v/>
      </c>
      <c r="U871" s="2" t="inlineStr"/>
    </row>
    <row r="872">
      <c r="A872" s="2" t="inlineStr">
        <is>
          <t>Q</t>
        </is>
      </c>
      <c r="B872" s="2" t="inlineStr">
        <is>
          <t>INSTALLATIONS</t>
        </is>
      </c>
      <c r="C872" s="2" t="inlineStr">
        <is>
          <t>AG</t>
        </is>
      </c>
      <c r="D872" s="2" t="inlineStr">
        <is>
          <t>FCU-SB-04, 2.4 kW Total Cooling Capacity</t>
        </is>
      </c>
      <c r="E872" s="2" t="inlineStr">
        <is>
          <t>Set</t>
        </is>
      </c>
      <c r="F872" s="2" t="n">
        <v>0</v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1</v>
      </c>
      <c r="O872" s="2" t="n">
        <v>0</v>
      </c>
      <c r="P872" s="2" t="n">
        <v>0</v>
      </c>
      <c r="Q872" s="2" t="n">
        <v>1</v>
      </c>
      <c r="R872" s="2" t="n">
        <v>1</v>
      </c>
      <c r="S872" s="2" t="n"/>
      <c r="T872" s="2">
        <f>IF(OR(S872="",R872=0),"",ROUND(S872*R872,2))</f>
        <v/>
      </c>
      <c r="U872" s="2" t="inlineStr"/>
    </row>
    <row r="873">
      <c r="A873" s="2" t="inlineStr">
        <is>
          <t>Q</t>
        </is>
      </c>
      <c r="B873" s="2" t="inlineStr">
        <is>
          <t>INSTALLATIONS</t>
        </is>
      </c>
      <c r="C873" s="2" t="inlineStr">
        <is>
          <t>AH</t>
        </is>
      </c>
      <c r="D873" s="2" t="inlineStr">
        <is>
          <t>FCU-SB-05, 2.1 kW Total Cooling Capacity</t>
        </is>
      </c>
      <c r="E873" s="2" t="inlineStr">
        <is>
          <t>Set</t>
        </is>
      </c>
      <c r="F873" s="2" t="n">
        <v>0</v>
      </c>
      <c r="G873" s="2" t="n">
        <v>0</v>
      </c>
      <c r="H873" s="2" t="n">
        <v>0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0</v>
      </c>
      <c r="N873" s="2" t="n">
        <v>1</v>
      </c>
      <c r="O873" s="2" t="n">
        <v>0</v>
      </c>
      <c r="P873" s="2" t="n">
        <v>0</v>
      </c>
      <c r="Q873" s="2" t="n">
        <v>1</v>
      </c>
      <c r="R873" s="2" t="n">
        <v>1</v>
      </c>
      <c r="S873" s="2" t="n"/>
      <c r="T873" s="2">
        <f>IF(OR(S873="",R873=0),"",ROUND(S873*R873,2))</f>
        <v/>
      </c>
      <c r="U873" s="2" t="inlineStr"/>
    </row>
    <row r="874">
      <c r="A874" s="2" t="inlineStr">
        <is>
          <t>Q</t>
        </is>
      </c>
      <c r="B874" s="2" t="inlineStr">
        <is>
          <t>INSTALLATIONS</t>
        </is>
      </c>
      <c r="C874" s="2" t="inlineStr">
        <is>
          <t>AJ</t>
        </is>
      </c>
      <c r="D874" s="2" t="inlineStr">
        <is>
          <t>FCU-SB-06, 8.1 kW Total Cooling Capacity</t>
        </is>
      </c>
      <c r="E874" s="2" t="inlineStr">
        <is>
          <t>Set</t>
        </is>
      </c>
      <c r="F874" s="2" t="n">
        <v>0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1</v>
      </c>
      <c r="O874" s="2" t="n">
        <v>0</v>
      </c>
      <c r="P874" s="2" t="n">
        <v>0</v>
      </c>
      <c r="Q874" s="2" t="n">
        <v>1</v>
      </c>
      <c r="R874" s="2" t="n">
        <v>1</v>
      </c>
      <c r="S874" s="2" t="n"/>
      <c r="T874" s="2">
        <f>IF(OR(S874="",R874=0),"",ROUND(S874*R874,2))</f>
        <v/>
      </c>
      <c r="U874" s="2" t="inlineStr"/>
    </row>
    <row r="875">
      <c r="A875" s="2" t="inlineStr">
        <is>
          <t>Q</t>
        </is>
      </c>
      <c r="B875" s="2" t="inlineStr">
        <is>
          <t>INSTALLATIONS</t>
        </is>
      </c>
      <c r="C875" s="2" t="inlineStr">
        <is>
          <t>AK</t>
        </is>
      </c>
      <c r="D875" s="2" t="inlineStr">
        <is>
          <t>GH-GF-01, 6.8 kW Total Cooling Capacity</t>
        </is>
      </c>
      <c r="E875" s="2" t="inlineStr">
        <is>
          <t>Set</t>
        </is>
      </c>
      <c r="F875" s="2" t="n">
        <v>0</v>
      </c>
      <c r="G875" s="2" t="n">
        <v>0</v>
      </c>
      <c r="H875" s="2" t="n">
        <v>0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0</v>
      </c>
      <c r="N875" s="2" t="n">
        <v>0</v>
      </c>
      <c r="O875" s="2" t="n">
        <v>1</v>
      </c>
      <c r="P875" s="2" t="n">
        <v>0</v>
      </c>
      <c r="Q875" s="2" t="n">
        <v>1</v>
      </c>
      <c r="R875" s="2" t="n">
        <v>1</v>
      </c>
      <c r="S875" s="2" t="n"/>
      <c r="T875" s="2">
        <f>IF(OR(S875="",R875=0),"",ROUND(S875*R875,2))</f>
        <v/>
      </c>
      <c r="U875" s="2" t="inlineStr"/>
    </row>
    <row r="876">
      <c r="A876" s="2" t="inlineStr">
        <is>
          <t>Q</t>
        </is>
      </c>
      <c r="B876" s="2" t="inlineStr">
        <is>
          <t>INSTALLATIONS</t>
        </is>
      </c>
      <c r="C876" s="2" t="inlineStr">
        <is>
          <t>B</t>
        </is>
      </c>
      <c r="D876" s="2" t="inlineStr">
        <is>
          <t>Return air duct</t>
        </is>
      </c>
      <c r="E876" s="2" t="inlineStr">
        <is>
          <t>m²</t>
        </is>
      </c>
      <c r="F876" s="2" t="n">
        <v>3</v>
      </c>
      <c r="G876" s="2" t="n">
        <v>3</v>
      </c>
      <c r="H876" s="2" t="n">
        <v>3</v>
      </c>
      <c r="I876" s="2" t="n">
        <v>3</v>
      </c>
      <c r="J876" s="2" t="n">
        <v>3</v>
      </c>
      <c r="K876" s="2" t="n">
        <v>3</v>
      </c>
      <c r="L876" s="2" t="n">
        <v>1</v>
      </c>
      <c r="M876" s="2" t="n">
        <v>1</v>
      </c>
      <c r="N876" s="2" t="n">
        <v>0</v>
      </c>
      <c r="O876" s="2" t="n">
        <v>0</v>
      </c>
      <c r="P876" s="2" t="n">
        <v>0</v>
      </c>
      <c r="Q876" s="2" t="n">
        <v>20</v>
      </c>
      <c r="R876" s="2" t="n">
        <v>313</v>
      </c>
      <c r="S876" s="2" t="n"/>
      <c r="T876" s="2">
        <f>IF(OR(S876="",R876=0),"",ROUND(S876*R876,2))</f>
        <v/>
      </c>
      <c r="U876" s="2" t="inlineStr"/>
    </row>
    <row r="877">
      <c r="A877" s="2" t="inlineStr">
        <is>
          <t>Q</t>
        </is>
      </c>
      <c r="B877" s="2" t="inlineStr">
        <is>
          <t>INSTALLATIONS</t>
        </is>
      </c>
      <c r="C877" s="2" t="inlineStr">
        <is>
          <t>B</t>
        </is>
      </c>
      <c r="D877" s="2" t="inlineStr">
        <is>
          <t>150 mm diameter</t>
        </is>
      </c>
      <c r="E877" s="2" t="inlineStr">
        <is>
          <t>m</t>
        </is>
      </c>
      <c r="F877" s="2" t="n">
        <v>4</v>
      </c>
      <c r="G877" s="2" t="n">
        <v>4</v>
      </c>
      <c r="H877" s="2" t="n">
        <v>6</v>
      </c>
      <c r="I877" s="2" t="n">
        <v>6</v>
      </c>
      <c r="J877" s="2" t="n">
        <v>8</v>
      </c>
      <c r="K877" s="2" t="n">
        <v>8</v>
      </c>
      <c r="L877" s="2" t="n">
        <v>2</v>
      </c>
      <c r="M877" s="2" t="n">
        <v>2</v>
      </c>
      <c r="N877" s="2" t="n">
        <v>17</v>
      </c>
      <c r="O877" s="2" t="n">
        <v>1</v>
      </c>
      <c r="P877" s="2" t="n">
        <v>0</v>
      </c>
      <c r="Q877" s="2" t="n">
        <v>58</v>
      </c>
      <c r="R877" s="2" t="n">
        <v>602</v>
      </c>
      <c r="S877" s="2" t="n"/>
      <c r="T877" s="2">
        <f>IF(OR(S877="",R877=0),"",ROUND(S877*R877,2))</f>
        <v/>
      </c>
      <c r="U877" s="2" t="inlineStr"/>
    </row>
    <row r="878">
      <c r="A878" s="2" t="inlineStr">
        <is>
          <t>Q</t>
        </is>
      </c>
      <c r="B878" s="2" t="inlineStr">
        <is>
          <t>INSTALLATIONS</t>
        </is>
      </c>
      <c r="C878" s="2" t="inlineStr">
        <is>
          <t>B</t>
        </is>
      </c>
      <c r="D878" s="2" t="inlineStr">
        <is>
          <t>SLBG-02, 1500/1200mm L x 100mm H</t>
        </is>
      </c>
      <c r="E878" s="2" t="inlineStr">
        <is>
          <t>No</t>
        </is>
      </c>
      <c r="F878" s="2" t="n">
        <v>4</v>
      </c>
      <c r="G878" s="2" t="n">
        <v>4</v>
      </c>
      <c r="H878" s="2" t="n">
        <v>6</v>
      </c>
      <c r="I878" s="2" t="n">
        <v>6</v>
      </c>
      <c r="J878" s="2" t="n">
        <v>8</v>
      </c>
      <c r="K878" s="2" t="n">
        <v>8</v>
      </c>
      <c r="L878" s="2" t="n">
        <v>2</v>
      </c>
      <c r="M878" s="2" t="n">
        <v>2</v>
      </c>
      <c r="N878" s="2" t="n">
        <v>0</v>
      </c>
      <c r="O878" s="2" t="n">
        <v>0</v>
      </c>
      <c r="P878" s="2" t="n">
        <v>0</v>
      </c>
      <c r="Q878" s="2" t="n">
        <v>40</v>
      </c>
      <c r="R878" s="2" t="n">
        <v>584</v>
      </c>
      <c r="S878" s="2" t="n"/>
      <c r="T878" s="2">
        <f>IF(OR(S878="",R878=0),"",ROUND(S878*R878,2))</f>
        <v/>
      </c>
      <c r="U878" s="2" t="inlineStr"/>
    </row>
    <row r="879">
      <c r="A879" s="2" t="inlineStr">
        <is>
          <t>Q</t>
        </is>
      </c>
      <c r="B879" s="2" t="inlineStr">
        <is>
          <t>INSTALLATIONS</t>
        </is>
      </c>
      <c r="C879" s="2" t="inlineStr">
        <is>
          <t>B</t>
        </is>
      </c>
      <c r="D879" s="2" t="inlineStr">
        <is>
          <t>SG-02, 350mm x 150mm</t>
        </is>
      </c>
      <c r="E879" s="2" t="inlineStr">
        <is>
          <t>No</t>
        </is>
      </c>
      <c r="F879" s="2" t="n">
        <v>0</v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2</v>
      </c>
      <c r="M879" s="2" t="n">
        <v>2</v>
      </c>
      <c r="N879" s="2" t="n">
        <v>0</v>
      </c>
      <c r="O879" s="2" t="n">
        <v>0</v>
      </c>
      <c r="P879" s="2" t="n">
        <v>0</v>
      </c>
      <c r="Q879" s="2" t="n">
        <v>4</v>
      </c>
      <c r="R879" s="2" t="n">
        <v>74</v>
      </c>
      <c r="S879" s="2" t="n"/>
      <c r="T879" s="2">
        <f>IF(OR(S879="",R879=0),"",ROUND(S879*R879,2))</f>
        <v/>
      </c>
      <c r="U879" s="2" t="inlineStr"/>
    </row>
    <row r="880">
      <c r="A880" s="2" t="inlineStr">
        <is>
          <t>Q</t>
        </is>
      </c>
      <c r="B880" s="2" t="inlineStr">
        <is>
          <t>INSTALLATIONS</t>
        </is>
      </c>
      <c r="C880" s="2" t="inlineStr">
        <is>
          <t>B</t>
        </is>
      </c>
      <c r="D880" s="2" t="inlineStr">
        <is>
          <t>ELSD-02, 2-Slot x 1000mm L</t>
        </is>
      </c>
      <c r="E880" s="2" t="inlineStr">
        <is>
          <t>No</t>
        </is>
      </c>
      <c r="F880" s="2" t="n">
        <v>2</v>
      </c>
      <c r="G880" s="2" t="n">
        <v>2</v>
      </c>
      <c r="H880" s="2" t="n">
        <v>2</v>
      </c>
      <c r="I880" s="2" t="n">
        <v>2</v>
      </c>
      <c r="J880" s="2" t="n">
        <v>2</v>
      </c>
      <c r="K880" s="2" t="n">
        <v>2</v>
      </c>
      <c r="L880" s="2" t="n">
        <v>1</v>
      </c>
      <c r="M880" s="2" t="n">
        <v>1</v>
      </c>
      <c r="N880" s="2" t="n">
        <v>0</v>
      </c>
      <c r="O880" s="2" t="n">
        <v>0</v>
      </c>
      <c r="P880" s="2" t="n">
        <v>0</v>
      </c>
      <c r="Q880" s="2" t="n">
        <v>14</v>
      </c>
      <c r="R880" s="2" t="n">
        <v>221</v>
      </c>
      <c r="S880" s="2" t="n"/>
      <c r="T880" s="2">
        <f>IF(OR(S880="",R880=0),"",ROUND(S880*R880,2))</f>
        <v/>
      </c>
      <c r="U880" s="2" t="inlineStr"/>
    </row>
    <row r="881">
      <c r="A881" s="2" t="inlineStr">
        <is>
          <t>Q</t>
        </is>
      </c>
      <c r="B881" s="2" t="inlineStr">
        <is>
          <t>INSTALLATIONS</t>
        </is>
      </c>
      <c r="C881" s="2" t="inlineStr">
        <is>
          <t>B</t>
        </is>
      </c>
      <c r="D881" s="2" t="inlineStr">
        <is>
          <t>VCD, 150mm diameter</t>
        </is>
      </c>
      <c r="E881" s="2" t="inlineStr">
        <is>
          <t>No</t>
        </is>
      </c>
      <c r="F881" s="2" t="n">
        <v>2</v>
      </c>
      <c r="G881" s="2" t="n">
        <v>2</v>
      </c>
      <c r="H881" s="2" t="n">
        <v>2</v>
      </c>
      <c r="I881" s="2" t="n">
        <v>2</v>
      </c>
      <c r="J881" s="2" t="n">
        <v>2</v>
      </c>
      <c r="K881" s="2" t="n">
        <v>2</v>
      </c>
      <c r="L881" s="2" t="n">
        <v>3</v>
      </c>
      <c r="M881" s="2" t="n">
        <v>3</v>
      </c>
      <c r="N881" s="2" t="n">
        <v>9</v>
      </c>
      <c r="O881" s="2" t="n">
        <v>0</v>
      </c>
      <c r="P881" s="2" t="n">
        <v>0</v>
      </c>
      <c r="Q881" s="2" t="n">
        <v>27</v>
      </c>
      <c r="R881" s="2" t="n">
        <v>304</v>
      </c>
      <c r="S881" s="2" t="n"/>
      <c r="T881" s="2">
        <f>IF(OR(S881="",R881=0),"",ROUND(S881*R881,2))</f>
        <v/>
      </c>
      <c r="U881" s="2" t="inlineStr"/>
    </row>
    <row r="882">
      <c r="A882" s="2" t="inlineStr">
        <is>
          <t>Q</t>
        </is>
      </c>
      <c r="B882" s="2" t="inlineStr">
        <is>
          <t>INSTALLATIONS</t>
        </is>
      </c>
      <c r="C882" s="2" t="inlineStr">
        <is>
          <t>B</t>
        </is>
      </c>
      <c r="D882" s="2" t="inlineStr">
        <is>
          <t>NRD, 200mm x 150mm</t>
        </is>
      </c>
      <c r="E882" s="2" t="inlineStr">
        <is>
          <t>No</t>
        </is>
      </c>
      <c r="F882" s="2" t="n">
        <v>0</v>
      </c>
      <c r="G882" s="2" t="n">
        <v>0</v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2</v>
      </c>
      <c r="O882" s="2" t="n">
        <v>0</v>
      </c>
      <c r="P882" s="2" t="n">
        <v>0</v>
      </c>
      <c r="Q882" s="2" t="n">
        <v>2</v>
      </c>
      <c r="R882" s="2" t="n">
        <v>2</v>
      </c>
      <c r="S882" s="2" t="n"/>
      <c r="T882" s="2">
        <f>IF(OR(S882="",R882=0),"",ROUND(S882*R882,2))</f>
        <v/>
      </c>
      <c r="U882" s="2" t="inlineStr"/>
    </row>
    <row r="883">
      <c r="A883" s="2" t="inlineStr">
        <is>
          <t>Q</t>
        </is>
      </c>
      <c r="B883" s="2" t="inlineStr">
        <is>
          <t>INSTALLATIONS</t>
        </is>
      </c>
      <c r="C883" s="2" t="inlineStr">
        <is>
          <t>B</t>
        </is>
      </c>
      <c r="D883" s="2" t="inlineStr">
        <is>
          <t>3B--FCU-GF-02, 1.9 kW Total Cooling Capacity</t>
        </is>
      </c>
      <c r="E883" s="2" t="inlineStr">
        <is>
          <t>Set</t>
        </is>
      </c>
      <c r="F883" s="2" t="n">
        <v>2</v>
      </c>
      <c r="G883" s="2" t="n">
        <v>2</v>
      </c>
      <c r="H883" s="2" t="n">
        <v>4</v>
      </c>
      <c r="I883" s="2" t="n">
        <v>4</v>
      </c>
      <c r="J883" s="2" t="n">
        <v>6</v>
      </c>
      <c r="K883" s="2" t="n">
        <v>6</v>
      </c>
      <c r="L883" s="2" t="n">
        <v>0</v>
      </c>
      <c r="M883" s="2" t="n">
        <v>0</v>
      </c>
      <c r="N883" s="2" t="n">
        <v>0</v>
      </c>
      <c r="O883" s="2" t="n">
        <v>0</v>
      </c>
      <c r="P883" s="2" t="n">
        <v>0</v>
      </c>
      <c r="Q883" s="2" t="n">
        <v>24</v>
      </c>
      <c r="R883" s="2" t="n">
        <v>326</v>
      </c>
      <c r="S883" s="2" t="n"/>
      <c r="T883" s="2">
        <f>IF(OR(S883="",R883=0),"",ROUND(S883*R883,2))</f>
        <v/>
      </c>
      <c r="U883" s="2" t="inlineStr"/>
    </row>
    <row r="884">
      <c r="A884" s="2" t="inlineStr">
        <is>
          <t>Q</t>
        </is>
      </c>
      <c r="B884" s="2" t="inlineStr">
        <is>
          <t>INSTALLATIONS</t>
        </is>
      </c>
      <c r="C884" s="2" t="inlineStr">
        <is>
          <t>B</t>
        </is>
      </c>
      <c r="D884" s="2" t="inlineStr">
        <is>
          <t>3B-EAF-01, 108 L/s @ 100 Pa</t>
        </is>
      </c>
      <c r="E884" s="2" t="inlineStr">
        <is>
          <t>Set</t>
        </is>
      </c>
      <c r="F884" s="2" t="n">
        <v>2</v>
      </c>
      <c r="G884" s="2" t="n">
        <v>2</v>
      </c>
      <c r="H884" s="2" t="n">
        <v>4</v>
      </c>
      <c r="I884" s="2" t="n">
        <v>4</v>
      </c>
      <c r="J884" s="2" t="n">
        <v>6</v>
      </c>
      <c r="K884" s="2" t="n">
        <v>6</v>
      </c>
      <c r="L884" s="2" t="n">
        <v>0</v>
      </c>
      <c r="M884" s="2" t="n">
        <v>0</v>
      </c>
      <c r="N884" s="2" t="n">
        <v>0</v>
      </c>
      <c r="O884" s="2" t="n">
        <v>0</v>
      </c>
      <c r="P884" s="2" t="n">
        <v>0</v>
      </c>
      <c r="Q884" s="2" t="n">
        <v>24</v>
      </c>
      <c r="R884" s="2" t="n">
        <v>326</v>
      </c>
      <c r="S884" s="2" t="n"/>
      <c r="T884" s="2">
        <f>IF(OR(S884="",R884=0),"",ROUND(S884*R884,2))</f>
        <v/>
      </c>
      <c r="U884" s="2" t="inlineStr"/>
    </row>
    <row r="885">
      <c r="A885" s="2" t="inlineStr">
        <is>
          <t>Q</t>
        </is>
      </c>
      <c r="B885" s="2" t="inlineStr">
        <is>
          <t>INSTALLATIONS</t>
        </is>
      </c>
      <c r="C885" s="2" t="inlineStr">
        <is>
          <t>C</t>
        </is>
      </c>
      <c r="D885" s="2" t="inlineStr">
        <is>
          <t>200mm diameter</t>
        </is>
      </c>
      <c r="E885" s="2" t="inlineStr">
        <is>
          <t>m</t>
        </is>
      </c>
      <c r="F885" s="2" t="n">
        <v>0</v>
      </c>
      <c r="G885" s="2" t="n">
        <v>0</v>
      </c>
      <c r="H885" s="2" t="n">
        <v>0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0</v>
      </c>
      <c r="N885" s="2" t="n">
        <v>30</v>
      </c>
      <c r="O885" s="2" t="n">
        <v>0</v>
      </c>
      <c r="P885" s="2" t="n">
        <v>0</v>
      </c>
      <c r="Q885" s="2" t="n">
        <v>30</v>
      </c>
      <c r="R885" s="2" t="n">
        <v>30</v>
      </c>
      <c r="S885" s="2" t="n"/>
      <c r="T885" s="2">
        <f>IF(OR(S885="",R885=0),"",ROUND(S885*R885,2))</f>
        <v/>
      </c>
      <c r="U885" s="2" t="inlineStr"/>
    </row>
    <row r="886">
      <c r="A886" s="2" t="inlineStr">
        <is>
          <t>Q</t>
        </is>
      </c>
      <c r="B886" s="2" t="inlineStr">
        <is>
          <t>INSTALLATIONS</t>
        </is>
      </c>
      <c r="C886" s="2" t="inlineStr">
        <is>
          <t>C</t>
        </is>
      </c>
      <c r="D886" s="2" t="inlineStr">
        <is>
          <t>200 mm diameter</t>
        </is>
      </c>
      <c r="E886" s="2" t="inlineStr">
        <is>
          <t>m</t>
        </is>
      </c>
      <c r="F886" s="2" t="n">
        <v>26</v>
      </c>
      <c r="G886" s="2" t="n">
        <v>26</v>
      </c>
      <c r="H886" s="2" t="n">
        <v>36</v>
      </c>
      <c r="I886" s="2" t="n">
        <v>36</v>
      </c>
      <c r="J886" s="2" t="n">
        <v>46</v>
      </c>
      <c r="K886" s="2" t="n">
        <v>46</v>
      </c>
      <c r="L886" s="2" t="n">
        <v>11</v>
      </c>
      <c r="M886" s="2" t="n">
        <v>11</v>
      </c>
      <c r="N886" s="2" t="n">
        <v>85</v>
      </c>
      <c r="O886" s="2" t="n">
        <v>0</v>
      </c>
      <c r="P886" s="2" t="n">
        <v>0</v>
      </c>
      <c r="Q886" s="2" t="n">
        <v>323</v>
      </c>
      <c r="R886" s="2" t="n">
        <v>3594</v>
      </c>
      <c r="S886" s="2" t="n"/>
      <c r="T886" s="2">
        <f>IF(OR(S886="",R886=0),"",ROUND(S886*R886,2))</f>
        <v/>
      </c>
      <c r="U886" s="2" t="inlineStr"/>
    </row>
    <row r="887">
      <c r="A887" s="2" t="inlineStr">
        <is>
          <t>Q</t>
        </is>
      </c>
      <c r="B887" s="2" t="inlineStr">
        <is>
          <t>INSTALLATIONS</t>
        </is>
      </c>
      <c r="C887" s="2" t="inlineStr">
        <is>
          <t>C</t>
        </is>
      </c>
      <c r="D887" s="2" t="inlineStr">
        <is>
          <t>RLBG-01, 1000mm L x 100mm H</t>
        </is>
      </c>
      <c r="E887" s="2" t="inlineStr">
        <is>
          <t>No</t>
        </is>
      </c>
      <c r="F887" s="2" t="n">
        <v>4</v>
      </c>
      <c r="G887" s="2" t="n">
        <v>4</v>
      </c>
      <c r="H887" s="2" t="n">
        <v>6</v>
      </c>
      <c r="I887" s="2" t="n">
        <v>6</v>
      </c>
      <c r="J887" s="2" t="n">
        <v>8</v>
      </c>
      <c r="K887" s="2" t="n">
        <v>8</v>
      </c>
      <c r="L887" s="2" t="n">
        <v>0</v>
      </c>
      <c r="M887" s="2" t="n">
        <v>0</v>
      </c>
      <c r="N887" s="2" t="n">
        <v>0</v>
      </c>
      <c r="O887" s="2" t="n">
        <v>0</v>
      </c>
      <c r="P887" s="2" t="n">
        <v>0</v>
      </c>
      <c r="Q887" s="2" t="n">
        <v>36</v>
      </c>
      <c r="R887" s="2" t="n">
        <v>510</v>
      </c>
      <c r="S887" s="2" t="n"/>
      <c r="T887" s="2">
        <f>IF(OR(S887="",R887=0),"",ROUND(S887*R887,2))</f>
        <v/>
      </c>
      <c r="U887" s="2" t="inlineStr"/>
    </row>
    <row r="888">
      <c r="A888" s="2" t="inlineStr">
        <is>
          <t>Q</t>
        </is>
      </c>
      <c r="B888" s="2" t="inlineStr">
        <is>
          <t>INSTALLATIONS</t>
        </is>
      </c>
      <c r="C888" s="2" t="inlineStr">
        <is>
          <t>C</t>
        </is>
      </c>
      <c r="D888" s="2" t="inlineStr">
        <is>
          <t>SG-06, 650mm x 150mm</t>
        </is>
      </c>
      <c r="E888" s="2" t="inlineStr">
        <is>
          <t>No</t>
        </is>
      </c>
      <c r="F888" s="2" t="n">
        <v>4</v>
      </c>
      <c r="G888" s="2" t="n">
        <v>4</v>
      </c>
      <c r="H888" s="2" t="n">
        <v>8</v>
      </c>
      <c r="I888" s="2" t="n">
        <v>8</v>
      </c>
      <c r="J888" s="2" t="n">
        <v>12</v>
      </c>
      <c r="K888" s="2" t="n">
        <v>12</v>
      </c>
      <c r="L888" s="2" t="n">
        <v>0</v>
      </c>
      <c r="M888" s="2" t="n">
        <v>0</v>
      </c>
      <c r="N888" s="2" t="n">
        <v>0</v>
      </c>
      <c r="O888" s="2" t="n">
        <v>0</v>
      </c>
      <c r="P888" s="2" t="n">
        <v>0</v>
      </c>
      <c r="Q888" s="2" t="n">
        <v>48</v>
      </c>
      <c r="R888" s="2" t="n">
        <v>652</v>
      </c>
      <c r="S888" s="2" t="n"/>
      <c r="T888" s="2">
        <f>IF(OR(S888="",R888=0),"",ROUND(S888*R888,2))</f>
        <v/>
      </c>
      <c r="U888" s="2" t="inlineStr"/>
    </row>
    <row r="889">
      <c r="A889" s="2" t="inlineStr">
        <is>
          <t>Q</t>
        </is>
      </c>
      <c r="B889" s="2" t="inlineStr">
        <is>
          <t>INSTALLATIONS</t>
        </is>
      </c>
      <c r="C889" s="2" t="inlineStr">
        <is>
          <t>C</t>
        </is>
      </c>
      <c r="D889" s="2" t="inlineStr">
        <is>
          <t>EAG, 150mm x 150mm</t>
        </is>
      </c>
      <c r="E889" s="2" t="inlineStr">
        <is>
          <t>No</t>
        </is>
      </c>
      <c r="F889" s="2" t="n">
        <v>0</v>
      </c>
      <c r="G889" s="2" t="n">
        <v>0</v>
      </c>
      <c r="H889" s="2" t="n">
        <v>0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0</v>
      </c>
      <c r="N889" s="2" t="n">
        <v>0</v>
      </c>
      <c r="O889" s="2" t="n">
        <v>1</v>
      </c>
      <c r="P889" s="2" t="n">
        <v>0</v>
      </c>
      <c r="Q889" s="2" t="n">
        <v>1</v>
      </c>
      <c r="R889" s="2" t="n">
        <v>1</v>
      </c>
      <c r="S889" s="2" t="n"/>
      <c r="T889" s="2">
        <f>IF(OR(S889="",R889=0),"",ROUND(S889*R889,2))</f>
        <v/>
      </c>
      <c r="U889" s="2" t="inlineStr"/>
    </row>
    <row r="890">
      <c r="A890" s="2" t="inlineStr">
        <is>
          <t>Q</t>
        </is>
      </c>
      <c r="B890" s="2" t="inlineStr">
        <is>
          <t>INSTALLATIONS</t>
        </is>
      </c>
      <c r="C890" s="2" t="inlineStr">
        <is>
          <t>C</t>
        </is>
      </c>
      <c r="D890" s="2" t="inlineStr">
        <is>
          <t>VCD, 200mm diameter</t>
        </is>
      </c>
      <c r="E890" s="2" t="inlineStr">
        <is>
          <t>No</t>
        </is>
      </c>
      <c r="F890" s="2" t="n">
        <v>6</v>
      </c>
      <c r="G890" s="2" t="n">
        <v>6</v>
      </c>
      <c r="H890" s="2" t="n">
        <v>10</v>
      </c>
      <c r="I890" s="2" t="n">
        <v>10</v>
      </c>
      <c r="J890" s="2" t="n">
        <v>14</v>
      </c>
      <c r="K890" s="2" t="n">
        <v>14</v>
      </c>
      <c r="L890" s="2" t="n">
        <v>1</v>
      </c>
      <c r="M890" s="2" t="n">
        <v>1</v>
      </c>
      <c r="N890" s="2" t="n">
        <v>81</v>
      </c>
      <c r="O890" s="2" t="n">
        <v>0</v>
      </c>
      <c r="P890" s="2" t="n">
        <v>0</v>
      </c>
      <c r="Q890" s="2" t="n">
        <v>143</v>
      </c>
      <c r="R890" s="2" t="n">
        <v>954</v>
      </c>
      <c r="S890" s="2" t="n"/>
      <c r="T890" s="2">
        <f>IF(OR(S890="",R890=0),"",ROUND(S890*R890,2))</f>
        <v/>
      </c>
      <c r="U890" s="2" t="inlineStr"/>
    </row>
    <row r="891">
      <c r="A891" s="2" t="inlineStr">
        <is>
          <t>Q</t>
        </is>
      </c>
      <c r="B891" s="2" t="inlineStr">
        <is>
          <t>INSTALLATIONS</t>
        </is>
      </c>
      <c r="C891" s="2" t="inlineStr">
        <is>
          <t>C</t>
        </is>
      </c>
      <c r="D891" s="2" t="inlineStr">
        <is>
          <t>NRD, 200mm x 200mm</t>
        </is>
      </c>
      <c r="E891" s="2" t="inlineStr">
        <is>
          <t>No</t>
        </is>
      </c>
      <c r="F891" s="2" t="n">
        <v>4</v>
      </c>
      <c r="G891" s="2" t="n">
        <v>4</v>
      </c>
      <c r="H891" s="2" t="n">
        <v>6</v>
      </c>
      <c r="I891" s="2" t="n">
        <v>6</v>
      </c>
      <c r="J891" s="2" t="n">
        <v>8</v>
      </c>
      <c r="K891" s="2" t="n">
        <v>8</v>
      </c>
      <c r="L891" s="2" t="n">
        <v>0</v>
      </c>
      <c r="M891" s="2" t="n">
        <v>0</v>
      </c>
      <c r="N891" s="2" t="n">
        <v>1</v>
      </c>
      <c r="O891" s="2" t="n">
        <v>0</v>
      </c>
      <c r="P891" s="2" t="n">
        <v>0</v>
      </c>
      <c r="Q891" s="2" t="n">
        <v>37</v>
      </c>
      <c r="R891" s="2" t="n">
        <v>511</v>
      </c>
      <c r="S891" s="2" t="n"/>
      <c r="T891" s="2">
        <f>IF(OR(S891="",R891=0),"",ROUND(S891*R891,2))</f>
        <v/>
      </c>
      <c r="U891" s="2" t="inlineStr"/>
    </row>
    <row r="892">
      <c r="A892" s="2" t="inlineStr">
        <is>
          <t>Q</t>
        </is>
      </c>
      <c r="B892" s="2" t="inlineStr">
        <is>
          <t>INSTALLATIONS</t>
        </is>
      </c>
      <c r="C892" s="2" t="inlineStr">
        <is>
          <t>C</t>
        </is>
      </c>
      <c r="D892" s="2" t="inlineStr">
        <is>
          <t>3B--FCU-FF-01, 4.8 kW Total Cooling Capacity</t>
        </is>
      </c>
      <c r="E892" s="2" t="inlineStr">
        <is>
          <t>Set</t>
        </is>
      </c>
      <c r="F892" s="2" t="n">
        <v>2</v>
      </c>
      <c r="G892" s="2" t="n">
        <v>2</v>
      </c>
      <c r="H892" s="2" t="n">
        <v>4</v>
      </c>
      <c r="I892" s="2" t="n">
        <v>4</v>
      </c>
      <c r="J892" s="2" t="n">
        <v>6</v>
      </c>
      <c r="K892" s="2" t="n">
        <v>6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0</v>
      </c>
      <c r="Q892" s="2" t="n">
        <v>24</v>
      </c>
      <c r="R892" s="2" t="n">
        <v>326</v>
      </c>
      <c r="S892" s="2" t="n"/>
      <c r="T892" s="2">
        <f>IF(OR(S892="",R892=0),"",ROUND(S892*R892,2))</f>
        <v/>
      </c>
      <c r="U892" s="2" t="inlineStr"/>
    </row>
    <row r="893">
      <c r="A893" s="2" t="inlineStr">
        <is>
          <t>Q</t>
        </is>
      </c>
      <c r="B893" s="2" t="inlineStr">
        <is>
          <t>INSTALLATIONS</t>
        </is>
      </c>
      <c r="C893" s="2" t="inlineStr">
        <is>
          <t>C</t>
        </is>
      </c>
      <c r="D893" s="2" t="inlineStr">
        <is>
          <t>4B-EAF-01, 121 L/s @ 100 Pa</t>
        </is>
      </c>
      <c r="E893" s="2" t="inlineStr">
        <is>
          <t>Set</t>
        </is>
      </c>
      <c r="F893" s="2" t="n">
        <v>2</v>
      </c>
      <c r="G893" s="2" t="n">
        <v>2</v>
      </c>
      <c r="H893" s="2" t="n">
        <v>2</v>
      </c>
      <c r="I893" s="2" t="n">
        <v>2</v>
      </c>
      <c r="J893" s="2" t="n">
        <v>2</v>
      </c>
      <c r="K893" s="2" t="n">
        <v>2</v>
      </c>
      <c r="L893" s="2" t="n">
        <v>0</v>
      </c>
      <c r="M893" s="2" t="n">
        <v>0</v>
      </c>
      <c r="N893" s="2" t="n">
        <v>0</v>
      </c>
      <c r="O893" s="2" t="n">
        <v>0</v>
      </c>
      <c r="P893" s="2" t="n">
        <v>0</v>
      </c>
      <c r="Q893" s="2" t="n">
        <v>12</v>
      </c>
      <c r="R893" s="2" t="n">
        <v>184</v>
      </c>
      <c r="S893" s="2" t="n"/>
      <c r="T893" s="2">
        <f>IF(OR(S893="",R893=0),"",ROUND(S893*R893,2))</f>
        <v/>
      </c>
      <c r="U893" s="2" t="inlineStr"/>
    </row>
    <row r="894">
      <c r="A894" s="2" t="inlineStr">
        <is>
          <t>Q</t>
        </is>
      </c>
      <c r="B894" s="2" t="inlineStr">
        <is>
          <t>INSTALLATIONS</t>
        </is>
      </c>
      <c r="C894" s="2" t="inlineStr">
        <is>
          <t>D</t>
        </is>
      </c>
      <c r="D894" s="2" t="inlineStr">
        <is>
          <t>Fresh air duct</t>
        </is>
      </c>
      <c r="E894" s="2" t="inlineStr">
        <is>
          <t>kg</t>
        </is>
      </c>
      <c r="F894" s="2" t="n">
        <v>7</v>
      </c>
      <c r="G894" s="2" t="n">
        <v>7</v>
      </c>
      <c r="H894" s="2" t="n">
        <v>10</v>
      </c>
      <c r="I894" s="2" t="n">
        <v>10</v>
      </c>
      <c r="J894" s="2" t="n">
        <v>14</v>
      </c>
      <c r="K894" s="2" t="n">
        <v>14</v>
      </c>
      <c r="L894" s="2" t="n">
        <v>2</v>
      </c>
      <c r="M894" s="2" t="n">
        <v>2</v>
      </c>
      <c r="N894" s="2" t="n">
        <v>108</v>
      </c>
      <c r="O894" s="2" t="n">
        <v>0</v>
      </c>
      <c r="P894" s="2" t="n">
        <v>0</v>
      </c>
      <c r="Q894" s="2" t="n">
        <v>174</v>
      </c>
      <c r="R894" s="2" t="n">
        <v>1055</v>
      </c>
      <c r="S894" s="2" t="n"/>
      <c r="T894" s="2">
        <f>IF(OR(S894="",R894=0),"",ROUND(S894*R894,2))</f>
        <v/>
      </c>
      <c r="U894" s="2" t="inlineStr"/>
    </row>
    <row r="895">
      <c r="A895" s="2" t="inlineStr">
        <is>
          <t>Q</t>
        </is>
      </c>
      <c r="B895" s="2" t="inlineStr">
        <is>
          <t>INSTALLATIONS</t>
        </is>
      </c>
      <c r="C895" s="2" t="inlineStr">
        <is>
          <t>D</t>
        </is>
      </c>
      <c r="D895" s="2" t="inlineStr">
        <is>
          <t>Supply and installation of refrigerant pipe work, including fittings, fixings, accessories, insulation, testing and commissioning to complete the works in accordance with the drawings and specifications.</t>
        </is>
      </c>
      <c r="E895" s="2" t="inlineStr">
        <is>
          <t>m</t>
        </is>
      </c>
      <c r="F895" s="2" t="n">
        <v>474</v>
      </c>
      <c r="G895" s="2" t="n">
        <v>474</v>
      </c>
      <c r="H895" s="2" t="n">
        <v>628</v>
      </c>
      <c r="I895" s="2" t="n">
        <v>628</v>
      </c>
      <c r="J895" s="2" t="n">
        <v>781</v>
      </c>
      <c r="K895" s="2" t="n">
        <v>781</v>
      </c>
      <c r="L895" s="2" t="n">
        <v>223</v>
      </c>
      <c r="M895" s="2" t="n">
        <v>223</v>
      </c>
      <c r="N895" s="2" t="n">
        <v>483</v>
      </c>
      <c r="O895" s="2" t="n">
        <v>8</v>
      </c>
      <c r="P895" s="2" t="n">
        <v>0</v>
      </c>
      <c r="Q895" s="2" t="n">
        <v>4703</v>
      </c>
      <c r="R895" s="2" t="n">
        <v>63268</v>
      </c>
      <c r="S895" s="2" t="n"/>
      <c r="T895" s="2">
        <f>IF(OR(S895="",R895=0),"",ROUND(S895*R895,2))</f>
        <v/>
      </c>
      <c r="U895" s="2" t="inlineStr"/>
    </row>
    <row r="896">
      <c r="A896" s="2" t="inlineStr">
        <is>
          <t>Q</t>
        </is>
      </c>
      <c r="B896" s="2" t="inlineStr">
        <is>
          <t>INSTALLATIONS</t>
        </is>
      </c>
      <c r="C896" s="2" t="inlineStr">
        <is>
          <t>D</t>
        </is>
      </c>
      <c r="D896" s="2" t="inlineStr">
        <is>
          <t>RLBG-02, 1500mm L x 100mm H</t>
        </is>
      </c>
      <c r="E896" s="2" t="inlineStr">
        <is>
          <t>No</t>
        </is>
      </c>
      <c r="F896" s="2" t="n">
        <v>2</v>
      </c>
      <c r="G896" s="2" t="n">
        <v>2</v>
      </c>
      <c r="H896" s="2" t="n">
        <v>4</v>
      </c>
      <c r="I896" s="2" t="n">
        <v>4</v>
      </c>
      <c r="J896" s="2" t="n">
        <v>6</v>
      </c>
      <c r="K896" s="2" t="n">
        <v>6</v>
      </c>
      <c r="L896" s="2" t="n">
        <v>2</v>
      </c>
      <c r="M896" s="2" t="n">
        <v>2</v>
      </c>
      <c r="N896" s="2" t="n">
        <v>0</v>
      </c>
      <c r="O896" s="2" t="n">
        <v>0</v>
      </c>
      <c r="P896" s="2" t="n">
        <v>0</v>
      </c>
      <c r="Q896" s="2" t="n">
        <v>28</v>
      </c>
      <c r="R896" s="2" t="n">
        <v>400</v>
      </c>
      <c r="S896" s="2" t="n"/>
      <c r="T896" s="2">
        <f>IF(OR(S896="",R896=0),"",ROUND(S896*R896,2))</f>
        <v/>
      </c>
      <c r="U896" s="2" t="inlineStr"/>
    </row>
    <row r="897">
      <c r="A897" s="2" t="inlineStr">
        <is>
          <t>Q</t>
        </is>
      </c>
      <c r="B897" s="2" t="inlineStr">
        <is>
          <t>INSTALLATIONS</t>
        </is>
      </c>
      <c r="C897" s="2" t="inlineStr">
        <is>
          <t>D</t>
        </is>
      </c>
      <c r="D897" s="2" t="inlineStr">
        <is>
          <t>SG-07, 750mm x 150mm</t>
        </is>
      </c>
      <c r="E897" s="2" t="inlineStr">
        <is>
          <t>No</t>
        </is>
      </c>
      <c r="F897" s="2" t="n">
        <v>2</v>
      </c>
      <c r="G897" s="2" t="n">
        <v>2</v>
      </c>
      <c r="H897" s="2" t="n">
        <v>2</v>
      </c>
      <c r="I897" s="2" t="n">
        <v>2</v>
      </c>
      <c r="J897" s="2" t="n">
        <v>2</v>
      </c>
      <c r="K897" s="2" t="n">
        <v>2</v>
      </c>
      <c r="L897" s="2" t="n">
        <v>0</v>
      </c>
      <c r="M897" s="2" t="n">
        <v>0</v>
      </c>
      <c r="N897" s="2" t="n">
        <v>0</v>
      </c>
      <c r="O897" s="2" t="n">
        <v>0</v>
      </c>
      <c r="P897" s="2" t="n">
        <v>0</v>
      </c>
      <c r="Q897" s="2" t="n">
        <v>12</v>
      </c>
      <c r="R897" s="2" t="n">
        <v>184</v>
      </c>
      <c r="S897" s="2" t="n"/>
      <c r="T897" s="2">
        <f>IF(OR(S897="",R897=0),"",ROUND(S897*R897,2))</f>
        <v/>
      </c>
      <c r="U897" s="2" t="inlineStr"/>
    </row>
    <row r="898">
      <c r="A898" s="2" t="inlineStr">
        <is>
          <t>Q</t>
        </is>
      </c>
      <c r="B898" s="2" t="inlineStr">
        <is>
          <t>INSTALLATIONS</t>
        </is>
      </c>
      <c r="C898" s="2" t="inlineStr">
        <is>
          <t>D</t>
        </is>
      </c>
      <c r="D898" s="2" t="inlineStr">
        <is>
          <t>EAG, 300mm x 150mm</t>
        </is>
      </c>
      <c r="E898" s="2" t="inlineStr">
        <is>
          <t>No</t>
        </is>
      </c>
      <c r="F898" s="2" t="n">
        <v>0</v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1</v>
      </c>
      <c r="O898" s="2" t="n">
        <v>0</v>
      </c>
      <c r="P898" s="2" t="n">
        <v>0</v>
      </c>
      <c r="Q898" s="2" t="n">
        <v>1</v>
      </c>
      <c r="R898" s="2" t="n">
        <v>1</v>
      </c>
      <c r="S898" s="2" t="n"/>
      <c r="T898" s="2">
        <f>IF(OR(S898="",R898=0),"",ROUND(S898*R898,2))</f>
        <v/>
      </c>
      <c r="U898" s="2" t="inlineStr"/>
    </row>
    <row r="899">
      <c r="A899" s="2" t="inlineStr">
        <is>
          <t>Q</t>
        </is>
      </c>
      <c r="B899" s="2" t="inlineStr">
        <is>
          <t>INSTALLATIONS</t>
        </is>
      </c>
      <c r="C899" s="2" t="inlineStr">
        <is>
          <t>D</t>
        </is>
      </c>
      <c r="D899" s="2" t="inlineStr">
        <is>
          <t>VCD, 250mm diameter</t>
        </is>
      </c>
      <c r="E899" s="2" t="inlineStr">
        <is>
          <t>No</t>
        </is>
      </c>
      <c r="F899" s="2" t="n">
        <v>0</v>
      </c>
      <c r="G899" s="2" t="n">
        <v>0</v>
      </c>
      <c r="H899" s="2" t="n">
        <v>0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0</v>
      </c>
      <c r="N899" s="2" t="n">
        <v>0</v>
      </c>
      <c r="O899" s="2" t="n">
        <v>0</v>
      </c>
      <c r="P899" s="2" t="n">
        <v>0</v>
      </c>
      <c r="Q899" s="2" t="n">
        <v>0</v>
      </c>
      <c r="R899" s="2" t="n">
        <v>0</v>
      </c>
      <c r="S899" s="2" t="n"/>
      <c r="T899" s="2">
        <f>IF(OR(S899="",R899=0),"",ROUND(S899*R899,2))</f>
        <v/>
      </c>
      <c r="U899" s="2" t="inlineStr"/>
    </row>
    <row r="900">
      <c r="A900" s="2" t="inlineStr">
        <is>
          <t>Q</t>
        </is>
      </c>
      <c r="B900" s="2" t="inlineStr">
        <is>
          <t>INSTALLATIONS</t>
        </is>
      </c>
      <c r="C900" s="2" t="inlineStr">
        <is>
          <t>D</t>
        </is>
      </c>
      <c r="D900" s="2" t="inlineStr">
        <is>
          <t>NRD, 250mm x 200mm</t>
        </is>
      </c>
      <c r="E900" s="2" t="inlineStr">
        <is>
          <t>No</t>
        </is>
      </c>
      <c r="F900" s="2" t="n">
        <v>0</v>
      </c>
      <c r="G900" s="2" t="n">
        <v>0</v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1</v>
      </c>
      <c r="M900" s="2" t="n">
        <v>1</v>
      </c>
      <c r="N900" s="2" t="n">
        <v>1</v>
      </c>
      <c r="O900" s="2" t="n">
        <v>0</v>
      </c>
      <c r="P900" s="2" t="n">
        <v>0</v>
      </c>
      <c r="Q900" s="2" t="n">
        <v>3</v>
      </c>
      <c r="R900" s="2" t="n">
        <v>38</v>
      </c>
      <c r="S900" s="2" t="n"/>
      <c r="T900" s="2">
        <f>IF(OR(S900="",R900=0),"",ROUND(S900*R900,2))</f>
        <v/>
      </c>
      <c r="U900" s="2" t="inlineStr"/>
    </row>
    <row r="901">
      <c r="A901" s="2" t="inlineStr">
        <is>
          <t>Q</t>
        </is>
      </c>
      <c r="B901" s="2" t="inlineStr">
        <is>
          <t>INSTALLATIONS</t>
        </is>
      </c>
      <c r="C901" s="2" t="inlineStr">
        <is>
          <t>D</t>
        </is>
      </c>
      <c r="D901" s="2" t="inlineStr">
        <is>
          <t>3B-FCU-FF-02, 6.2 kW Total Cooling Capacity</t>
        </is>
      </c>
      <c r="E901" s="2" t="inlineStr">
        <is>
          <t>Set</t>
        </is>
      </c>
      <c r="F901" s="2" t="n">
        <v>2</v>
      </c>
      <c r="G901" s="2" t="n">
        <v>2</v>
      </c>
      <c r="H901" s="2" t="n">
        <v>4</v>
      </c>
      <c r="I901" s="2" t="n">
        <v>4</v>
      </c>
      <c r="J901" s="2" t="n">
        <v>6</v>
      </c>
      <c r="K901" s="2" t="n">
        <v>6</v>
      </c>
      <c r="L901" s="2" t="n">
        <v>0</v>
      </c>
      <c r="M901" s="2" t="n">
        <v>0</v>
      </c>
      <c r="N901" s="2" t="n">
        <v>0</v>
      </c>
      <c r="O901" s="2" t="n">
        <v>0</v>
      </c>
      <c r="P901" s="2" t="n">
        <v>0</v>
      </c>
      <c r="Q901" s="2" t="n">
        <v>24</v>
      </c>
      <c r="R901" s="2" t="n">
        <v>326</v>
      </c>
      <c r="S901" s="2" t="n"/>
      <c r="T901" s="2">
        <f>IF(OR(S901="",R901=0),"",ROUND(S901*R901,2))</f>
        <v/>
      </c>
      <c r="U901" s="2" t="inlineStr"/>
    </row>
    <row r="902">
      <c r="A902" s="2" t="inlineStr">
        <is>
          <t>Q</t>
        </is>
      </c>
      <c r="B902" s="2" t="inlineStr">
        <is>
          <t>INSTALLATIONS</t>
        </is>
      </c>
      <c r="C902" s="2" t="inlineStr">
        <is>
          <t>D</t>
        </is>
      </c>
      <c r="D902" s="2" t="inlineStr">
        <is>
          <t>5B-EAF-01, 146 L/s @ 100 Pa</t>
        </is>
      </c>
      <c r="E902" s="2" t="inlineStr">
        <is>
          <t>Set</t>
        </is>
      </c>
      <c r="F902" s="2" t="n">
        <v>0</v>
      </c>
      <c r="G902" s="2" t="n">
        <v>0</v>
      </c>
      <c r="H902" s="2" t="n">
        <v>0</v>
      </c>
      <c r="I902" s="2" t="n">
        <v>0</v>
      </c>
      <c r="J902" s="2" t="n">
        <v>0</v>
      </c>
      <c r="K902" s="2" t="n">
        <v>0</v>
      </c>
      <c r="L902" s="2" t="n">
        <v>1</v>
      </c>
      <c r="M902" s="2" t="n">
        <v>1</v>
      </c>
      <c r="N902" s="2" t="n">
        <v>0</v>
      </c>
      <c r="O902" s="2" t="n">
        <v>0</v>
      </c>
      <c r="P902" s="2" t="n">
        <v>0</v>
      </c>
      <c r="Q902" s="2" t="n">
        <v>2</v>
      </c>
      <c r="R902" s="2" t="n">
        <v>37</v>
      </c>
      <c r="S902" s="2" t="n"/>
      <c r="T902" s="2">
        <f>IF(OR(S902="",R902=0),"",ROUND(S902*R902,2))</f>
        <v/>
      </c>
      <c r="U902" s="2" t="inlineStr"/>
    </row>
    <row r="903">
      <c r="A903" s="2" t="inlineStr">
        <is>
          <t>Q</t>
        </is>
      </c>
      <c r="B903" s="2" t="inlineStr">
        <is>
          <t>INSTALLATIONS</t>
        </is>
      </c>
      <c r="C903" s="2" t="inlineStr">
        <is>
          <t>E</t>
        </is>
      </c>
      <c r="D903" s="2" t="inlineStr">
        <is>
          <t>Extract air duct</t>
        </is>
      </c>
      <c r="E903" s="2" t="inlineStr">
        <is>
          <t>kg</t>
        </is>
      </c>
      <c r="F903" s="2" t="n">
        <v>284</v>
      </c>
      <c r="G903" s="2" t="n">
        <v>284</v>
      </c>
      <c r="H903" s="2" t="n">
        <v>415</v>
      </c>
      <c r="I903" s="2" t="n">
        <v>415</v>
      </c>
      <c r="J903" s="2" t="n">
        <v>546</v>
      </c>
      <c r="K903" s="2" t="n">
        <v>546</v>
      </c>
      <c r="L903" s="2" t="n">
        <v>118</v>
      </c>
      <c r="M903" s="2" t="n">
        <v>118</v>
      </c>
      <c r="N903" s="2" t="n">
        <v>302</v>
      </c>
      <c r="O903" s="2" t="n">
        <v>7</v>
      </c>
      <c r="P903" s="2" t="n">
        <v>0</v>
      </c>
      <c r="Q903" s="2" t="n">
        <v>3035</v>
      </c>
      <c r="R903" s="2" t="n">
        <v>40104</v>
      </c>
      <c r="S903" s="2" t="n"/>
      <c r="T903" s="2">
        <f>IF(OR(S903="",R903=0),"",ROUND(S903*R903,2))</f>
        <v/>
      </c>
      <c r="U903" s="2" t="inlineStr"/>
    </row>
    <row r="904">
      <c r="A904" s="2" t="inlineStr">
        <is>
          <t>Q</t>
        </is>
      </c>
      <c r="B904" s="2" t="inlineStr">
        <is>
          <t>INSTALLATIONS</t>
        </is>
      </c>
      <c r="C904" s="2" t="inlineStr">
        <is>
          <t>E</t>
        </is>
      </c>
      <c r="D904" s="2" t="inlineStr">
        <is>
          <t>RLBG-04, 2000mm L x 100mm H</t>
        </is>
      </c>
      <c r="E904" s="2" t="inlineStr">
        <is>
          <t>No</t>
        </is>
      </c>
      <c r="F904" s="2" t="n">
        <v>2</v>
      </c>
      <c r="G904" s="2" t="n">
        <v>2</v>
      </c>
      <c r="H904" s="2" t="n">
        <v>2</v>
      </c>
      <c r="I904" s="2" t="n">
        <v>2</v>
      </c>
      <c r="J904" s="2" t="n">
        <v>2</v>
      </c>
      <c r="K904" s="2" t="n">
        <v>2</v>
      </c>
      <c r="L904" s="2" t="n">
        <v>0</v>
      </c>
      <c r="M904" s="2" t="n">
        <v>0</v>
      </c>
      <c r="N904" s="2" t="n">
        <v>0</v>
      </c>
      <c r="O904" s="2" t="n">
        <v>0</v>
      </c>
      <c r="P904" s="2" t="n">
        <v>0</v>
      </c>
      <c r="Q904" s="2" t="n">
        <v>12</v>
      </c>
      <c r="R904" s="2" t="n">
        <v>184</v>
      </c>
      <c r="S904" s="2" t="n"/>
      <c r="T904" s="2">
        <f>IF(OR(S904="",R904=0),"",ROUND(S904*R904,2))</f>
        <v/>
      </c>
      <c r="U904" s="2" t="inlineStr"/>
    </row>
    <row r="905">
      <c r="A905" s="2" t="inlineStr">
        <is>
          <t>Q</t>
        </is>
      </c>
      <c r="B905" s="2" t="inlineStr">
        <is>
          <t>INSTALLATIONS</t>
        </is>
      </c>
      <c r="C905" s="2" t="inlineStr">
        <is>
          <t>E</t>
        </is>
      </c>
      <c r="D905" s="2" t="inlineStr">
        <is>
          <t>SG-08, 800mm x 150mm</t>
        </is>
      </c>
      <c r="E905" s="2" t="inlineStr">
        <is>
          <t>No</t>
        </is>
      </c>
      <c r="F905" s="2" t="n">
        <v>2</v>
      </c>
      <c r="G905" s="2" t="n">
        <v>2</v>
      </c>
      <c r="H905" s="2" t="n">
        <v>2</v>
      </c>
      <c r="I905" s="2" t="n">
        <v>2</v>
      </c>
      <c r="J905" s="2" t="n">
        <v>2</v>
      </c>
      <c r="K905" s="2" t="n">
        <v>2</v>
      </c>
      <c r="L905" s="2" t="n">
        <v>0</v>
      </c>
      <c r="M905" s="2" t="n">
        <v>0</v>
      </c>
      <c r="N905" s="2" t="n">
        <v>0</v>
      </c>
      <c r="O905" s="2" t="n">
        <v>0</v>
      </c>
      <c r="P905" s="2" t="n">
        <v>0</v>
      </c>
      <c r="Q905" s="2" t="n">
        <v>12</v>
      </c>
      <c r="R905" s="2" t="n">
        <v>184</v>
      </c>
      <c r="S905" s="2" t="n"/>
      <c r="T905" s="2">
        <f>IF(OR(S905="",R905=0),"",ROUND(S905*R905,2))</f>
        <v/>
      </c>
      <c r="U905" s="2" t="inlineStr"/>
    </row>
    <row r="906">
      <c r="A906" s="2" t="inlineStr">
        <is>
          <t>Q</t>
        </is>
      </c>
      <c r="B906" s="2" t="inlineStr">
        <is>
          <t>INSTALLATIONS</t>
        </is>
      </c>
      <c r="C906" s="2" t="inlineStr">
        <is>
          <t>E</t>
        </is>
      </c>
      <c r="D906" s="2" t="inlineStr">
        <is>
          <t>EAG, 350mm x 200mm</t>
        </is>
      </c>
      <c r="E906" s="2" t="inlineStr">
        <is>
          <t>No</t>
        </is>
      </c>
      <c r="F906" s="2" t="n">
        <v>0</v>
      </c>
      <c r="G906" s="2" t="n">
        <v>0</v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  <c r="N906" s="2" t="n">
        <v>1</v>
      </c>
      <c r="O906" s="2" t="n">
        <v>0</v>
      </c>
      <c r="P906" s="2" t="n">
        <v>0</v>
      </c>
      <c r="Q906" s="2" t="n">
        <v>1</v>
      </c>
      <c r="R906" s="2" t="n">
        <v>1</v>
      </c>
      <c r="S906" s="2" t="n"/>
      <c r="T906" s="2">
        <f>IF(OR(S906="",R906=0),"",ROUND(S906*R906,2))</f>
        <v/>
      </c>
      <c r="U906" s="2" t="inlineStr"/>
    </row>
    <row r="907">
      <c r="A907" s="2" t="inlineStr">
        <is>
          <t>Q</t>
        </is>
      </c>
      <c r="B907" s="2" t="inlineStr">
        <is>
          <t>INSTALLATIONS</t>
        </is>
      </c>
      <c r="C907" s="2" t="inlineStr">
        <is>
          <t>E</t>
        </is>
      </c>
      <c r="D907" s="2" t="inlineStr">
        <is>
          <t>VCD, 100mm x 100mm</t>
        </is>
      </c>
      <c r="E907" s="2" t="inlineStr">
        <is>
          <t>No</t>
        </is>
      </c>
      <c r="F907" s="2" t="n">
        <v>0</v>
      </c>
      <c r="G907" s="2" t="n">
        <v>0</v>
      </c>
      <c r="H907" s="2" t="n">
        <v>0</v>
      </c>
      <c r="I907" s="2" t="n">
        <v>0</v>
      </c>
      <c r="J907" s="2" t="n">
        <v>0</v>
      </c>
      <c r="K907" s="2" t="n">
        <v>0</v>
      </c>
      <c r="L907" s="2" t="n">
        <v>3</v>
      </c>
      <c r="M907" s="2" t="n">
        <v>3</v>
      </c>
      <c r="N907" s="2" t="n">
        <v>0</v>
      </c>
      <c r="O907" s="2" t="n">
        <v>0</v>
      </c>
      <c r="P907" s="2" t="n">
        <v>0</v>
      </c>
      <c r="Q907" s="2" t="n">
        <v>6</v>
      </c>
      <c r="R907" s="2" t="n">
        <v>111</v>
      </c>
      <c r="S907" s="2" t="n"/>
      <c r="T907" s="2">
        <f>IF(OR(S907="",R907=0),"",ROUND(S907*R907,2))</f>
        <v/>
      </c>
      <c r="U907" s="2" t="inlineStr"/>
    </row>
    <row r="908">
      <c r="A908" s="2" t="inlineStr">
        <is>
          <t>Q</t>
        </is>
      </c>
      <c r="B908" s="2" t="inlineStr">
        <is>
          <t>INSTALLATIONS</t>
        </is>
      </c>
      <c r="C908" s="2" t="inlineStr">
        <is>
          <t>E</t>
        </is>
      </c>
      <c r="D908" s="2" t="inlineStr">
        <is>
          <t>NRD, 250mm x 250mm</t>
        </is>
      </c>
      <c r="E908" s="2" t="inlineStr">
        <is>
          <t>No</t>
        </is>
      </c>
      <c r="F908" s="2" t="n">
        <v>0</v>
      </c>
      <c r="G908" s="2" t="n">
        <v>0</v>
      </c>
      <c r="H908" s="2" t="n">
        <v>0</v>
      </c>
      <c r="I908" s="2" t="n">
        <v>0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1</v>
      </c>
      <c r="O908" s="2" t="n">
        <v>0</v>
      </c>
      <c r="P908" s="2" t="n">
        <v>0</v>
      </c>
      <c r="Q908" s="2" t="n">
        <v>1</v>
      </c>
      <c r="R908" s="2" t="n">
        <v>1</v>
      </c>
      <c r="S908" s="2" t="n"/>
      <c r="T908" s="2">
        <f>IF(OR(S908="",R908=0),"",ROUND(S908*R908,2))</f>
        <v/>
      </c>
      <c r="U908" s="2" t="inlineStr"/>
    </row>
    <row r="909">
      <c r="A909" s="2" t="inlineStr">
        <is>
          <t>Q</t>
        </is>
      </c>
      <c r="B909" s="2" t="inlineStr">
        <is>
          <t>INSTALLATIONS</t>
        </is>
      </c>
      <c r="C909" s="2" t="inlineStr">
        <is>
          <t>E</t>
        </is>
      </c>
      <c r="D909" s="2" t="inlineStr">
        <is>
          <t>4B-FCU-GF-01, 11.5 kW Total Cooling Capacity</t>
        </is>
      </c>
      <c r="E909" s="2" t="inlineStr">
        <is>
          <t>Set</t>
        </is>
      </c>
      <c r="F909" s="2" t="n">
        <v>2</v>
      </c>
      <c r="G909" s="2" t="n">
        <v>2</v>
      </c>
      <c r="H909" s="2" t="n">
        <v>2</v>
      </c>
      <c r="I909" s="2" t="n">
        <v>2</v>
      </c>
      <c r="J909" s="2" t="n">
        <v>2</v>
      </c>
      <c r="K909" s="2" t="n">
        <v>2</v>
      </c>
      <c r="L909" s="2" t="n">
        <v>0</v>
      </c>
      <c r="M909" s="2" t="n">
        <v>0</v>
      </c>
      <c r="N909" s="2" t="n">
        <v>0</v>
      </c>
      <c r="O909" s="2" t="n">
        <v>0</v>
      </c>
      <c r="P909" s="2" t="n">
        <v>0</v>
      </c>
      <c r="Q909" s="2" t="n">
        <v>12</v>
      </c>
      <c r="R909" s="2" t="n">
        <v>184</v>
      </c>
      <c r="S909" s="2" t="n"/>
      <c r="T909" s="2">
        <f>IF(OR(S909="",R909=0),"",ROUND(S909*R909,2))</f>
        <v/>
      </c>
      <c r="U909" s="2" t="inlineStr"/>
    </row>
    <row r="910">
      <c r="A910" s="2" t="inlineStr">
        <is>
          <t>Q</t>
        </is>
      </c>
      <c r="B910" s="2" t="inlineStr">
        <is>
          <t>INSTALLATIONS</t>
        </is>
      </c>
      <c r="C910" s="2" t="inlineStr">
        <is>
          <t>E</t>
        </is>
      </c>
      <c r="D910" s="2" t="inlineStr">
        <is>
          <t>EAF-CH-01, 112 L/s @ 100 Pa</t>
        </is>
      </c>
      <c r="E910" s="2" t="inlineStr">
        <is>
          <t>Set</t>
        </is>
      </c>
      <c r="F910" s="2" t="n">
        <v>0</v>
      </c>
      <c r="G910" s="2" t="n">
        <v>0</v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</v>
      </c>
      <c r="N910" s="2" t="n">
        <v>1</v>
      </c>
      <c r="O910" s="2" t="n">
        <v>0</v>
      </c>
      <c r="P910" s="2" t="n">
        <v>0</v>
      </c>
      <c r="Q910" s="2" t="n">
        <v>1</v>
      </c>
      <c r="R910" s="2" t="n">
        <v>1</v>
      </c>
      <c r="S910" s="2" t="n"/>
      <c r="T910" s="2">
        <f>IF(OR(S910="",R910=0),"",ROUND(S910*R910,2))</f>
        <v/>
      </c>
      <c r="U910" s="2" t="inlineStr"/>
    </row>
    <row r="911">
      <c r="A911" s="2" t="inlineStr">
        <is>
          <t>Q</t>
        </is>
      </c>
      <c r="B911" s="2" t="inlineStr">
        <is>
          <t>INSTALLATIONS</t>
        </is>
      </c>
      <c r="C911" s="2" t="inlineStr">
        <is>
          <t>F</t>
        </is>
      </c>
      <c r="D911" s="2" t="inlineStr">
        <is>
          <t>100mm diameter</t>
        </is>
      </c>
      <c r="E911" s="2" t="inlineStr">
        <is>
          <t>m</t>
        </is>
      </c>
      <c r="F911" s="2" t="n">
        <v>28</v>
      </c>
      <c r="G911" s="2" t="n">
        <v>28</v>
      </c>
      <c r="H911" s="2" t="n">
        <v>36</v>
      </c>
      <c r="I911" s="2" t="n">
        <v>36</v>
      </c>
      <c r="J911" s="2" t="n">
        <v>44</v>
      </c>
      <c r="K911" s="2" t="n">
        <v>44</v>
      </c>
      <c r="L911" s="2" t="n">
        <v>15</v>
      </c>
      <c r="M911" s="2" t="n">
        <v>15</v>
      </c>
      <c r="N911" s="2" t="n">
        <v>0</v>
      </c>
      <c r="O911" s="2" t="n">
        <v>0</v>
      </c>
      <c r="P911" s="2" t="n">
        <v>0</v>
      </c>
      <c r="Q911" s="2" t="n">
        <v>246</v>
      </c>
      <c r="R911" s="2" t="n">
        <v>3699</v>
      </c>
      <c r="S911" s="2" t="n"/>
      <c r="T911" s="2">
        <f>IF(OR(S911="",R911=0),"",ROUND(S911*R911,2))</f>
        <v/>
      </c>
      <c r="U911" s="2" t="inlineStr"/>
    </row>
    <row r="912">
      <c r="A912" s="2" t="inlineStr">
        <is>
          <t>Q</t>
        </is>
      </c>
      <c r="B912" s="2" t="inlineStr">
        <is>
          <t>INSTALLATIONS</t>
        </is>
      </c>
      <c r="C912" s="2" t="inlineStr">
        <is>
          <t>F</t>
        </is>
      </c>
      <c r="D912" s="2" t="inlineStr">
        <is>
          <t>SLSD-01, 1-Slot x 20mm Width, 1000mm L</t>
        </is>
      </c>
      <c r="E912" s="2" t="inlineStr">
        <is>
          <t>No</t>
        </is>
      </c>
      <c r="F912" s="2" t="n">
        <v>0</v>
      </c>
      <c r="G912" s="2" t="n">
        <v>0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1</v>
      </c>
      <c r="M912" s="2" t="n">
        <v>1</v>
      </c>
      <c r="N912" s="2" t="n">
        <v>0</v>
      </c>
      <c r="O912" s="2" t="n">
        <v>0</v>
      </c>
      <c r="P912" s="2" t="n">
        <v>0</v>
      </c>
      <c r="Q912" s="2" t="n">
        <v>2</v>
      </c>
      <c r="R912" s="2" t="n">
        <v>37</v>
      </c>
      <c r="S912" s="2" t="n"/>
      <c r="T912" s="2">
        <f>IF(OR(S912="",R912=0),"",ROUND(S912*R912,2))</f>
        <v/>
      </c>
      <c r="U912" s="2" t="inlineStr"/>
    </row>
    <row r="913">
      <c r="A913" s="2" t="inlineStr">
        <is>
          <t>Q</t>
        </is>
      </c>
      <c r="B913" s="2" t="inlineStr">
        <is>
          <t>INSTALLATIONS</t>
        </is>
      </c>
      <c r="C913" s="2" t="inlineStr">
        <is>
          <t>F</t>
        </is>
      </c>
      <c r="D913" s="2" t="inlineStr">
        <is>
          <t>SG-09, 950mm x 150mm</t>
        </is>
      </c>
      <c r="E913" s="2" t="inlineStr">
        <is>
          <t>No</t>
        </is>
      </c>
      <c r="F913" s="2" t="n">
        <v>0</v>
      </c>
      <c r="G913" s="2" t="n">
        <v>0</v>
      </c>
      <c r="H913" s="2" t="n">
        <v>0</v>
      </c>
      <c r="I913" s="2" t="n">
        <v>0</v>
      </c>
      <c r="J913" s="2" t="n">
        <v>0</v>
      </c>
      <c r="K913" s="2" t="n">
        <v>0</v>
      </c>
      <c r="L913" s="2" t="n">
        <v>1</v>
      </c>
      <c r="M913" s="2" t="n">
        <v>1</v>
      </c>
      <c r="N913" s="2" t="n">
        <v>0</v>
      </c>
      <c r="O913" s="2" t="n">
        <v>0</v>
      </c>
      <c r="P913" s="2" t="n">
        <v>0</v>
      </c>
      <c r="Q913" s="2" t="n">
        <v>2</v>
      </c>
      <c r="R913" s="2" t="n">
        <v>37</v>
      </c>
      <c r="S913" s="2" t="n"/>
      <c r="T913" s="2">
        <f>IF(OR(S913="",R913=0),"",ROUND(S913*R913,2))</f>
        <v/>
      </c>
      <c r="U913" s="2" t="inlineStr"/>
    </row>
    <row r="914">
      <c r="A914" s="2" t="inlineStr">
        <is>
          <t>Q</t>
        </is>
      </c>
      <c r="B914" s="2" t="inlineStr">
        <is>
          <t>INSTALLATIONS</t>
        </is>
      </c>
      <c r="C914" s="2" t="inlineStr">
        <is>
          <t>F</t>
        </is>
      </c>
      <c r="D914" s="2" t="inlineStr">
        <is>
          <t>EAG, 350mm x 250mm</t>
        </is>
      </c>
      <c r="E914" s="2" t="inlineStr">
        <is>
          <t>No</t>
        </is>
      </c>
      <c r="F914" s="2" t="n">
        <v>0</v>
      </c>
      <c r="G914" s="2" t="n">
        <v>0</v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3</v>
      </c>
      <c r="O914" s="2" t="n">
        <v>0</v>
      </c>
      <c r="P914" s="2" t="n">
        <v>0</v>
      </c>
      <c r="Q914" s="2" t="n">
        <v>3</v>
      </c>
      <c r="R914" s="2" t="n">
        <v>3</v>
      </c>
      <c r="S914" s="2" t="n"/>
      <c r="T914" s="2">
        <f>IF(OR(S914="",R914=0),"",ROUND(S914*R914,2))</f>
        <v/>
      </c>
      <c r="U914" s="2" t="inlineStr"/>
    </row>
    <row r="915">
      <c r="A915" s="2" t="inlineStr">
        <is>
          <t>Q</t>
        </is>
      </c>
      <c r="B915" s="2" t="inlineStr">
        <is>
          <t>INSTALLATIONS</t>
        </is>
      </c>
      <c r="C915" s="2" t="inlineStr">
        <is>
          <t>F</t>
        </is>
      </c>
      <c r="D915" s="2" t="inlineStr">
        <is>
          <t>VCD, 150mm x 100mm</t>
        </is>
      </c>
      <c r="E915" s="2" t="inlineStr">
        <is>
          <t>No</t>
        </is>
      </c>
      <c r="F915" s="2" t="n">
        <v>4</v>
      </c>
      <c r="G915" s="2" t="n">
        <v>4</v>
      </c>
      <c r="H915" s="2" t="n">
        <v>6</v>
      </c>
      <c r="I915" s="2" t="n">
        <v>6</v>
      </c>
      <c r="J915" s="2" t="n">
        <v>8</v>
      </c>
      <c r="K915" s="2" t="n">
        <v>8</v>
      </c>
      <c r="L915" s="2" t="n">
        <v>1</v>
      </c>
      <c r="M915" s="2" t="n">
        <v>1</v>
      </c>
      <c r="N915" s="2" t="n">
        <v>17</v>
      </c>
      <c r="O915" s="2" t="n">
        <v>0</v>
      </c>
      <c r="P915" s="2" t="n">
        <v>0</v>
      </c>
      <c r="Q915" s="2" t="n">
        <v>55</v>
      </c>
      <c r="R915" s="2" t="n">
        <v>564</v>
      </c>
      <c r="S915" s="2" t="n"/>
      <c r="T915" s="2">
        <f>IF(OR(S915="",R915=0),"",ROUND(S915*R915,2))</f>
        <v/>
      </c>
      <c r="U915" s="2" t="inlineStr"/>
    </row>
    <row r="916">
      <c r="A916" s="2" t="inlineStr">
        <is>
          <t>Q</t>
        </is>
      </c>
      <c r="B916" s="2" t="inlineStr">
        <is>
          <t>INSTALLATIONS</t>
        </is>
      </c>
      <c r="C916" s="2" t="inlineStr">
        <is>
          <t>F</t>
        </is>
      </c>
      <c r="D916" s="2" t="inlineStr">
        <is>
          <t>NRD, 300mm x 250mm</t>
        </is>
      </c>
      <c r="E916" s="2" t="inlineStr">
        <is>
          <t>No</t>
        </is>
      </c>
      <c r="F916" s="2" t="n">
        <v>0</v>
      </c>
      <c r="G916" s="2" t="n">
        <v>0</v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2</v>
      </c>
      <c r="O916" s="2" t="n">
        <v>0</v>
      </c>
      <c r="P916" s="2" t="n">
        <v>0</v>
      </c>
      <c r="Q916" s="2" t="n">
        <v>2</v>
      </c>
      <c r="R916" s="2" t="n">
        <v>2</v>
      </c>
      <c r="S916" s="2" t="n"/>
      <c r="T916" s="2">
        <f>IF(OR(S916="",R916=0),"",ROUND(S916*R916,2))</f>
        <v/>
      </c>
      <c r="U916" s="2" t="inlineStr"/>
    </row>
    <row r="917">
      <c r="A917" s="2" t="inlineStr">
        <is>
          <t>Q</t>
        </is>
      </c>
      <c r="B917" s="2" t="inlineStr">
        <is>
          <t>INSTALLATIONS</t>
        </is>
      </c>
      <c r="C917" s="2" t="inlineStr">
        <is>
          <t>F</t>
        </is>
      </c>
      <c r="D917" s="2" t="inlineStr">
        <is>
          <t>4B-FCU-GF-02, 2.2 kW Total Cooling Capacity</t>
        </is>
      </c>
      <c r="E917" s="2" t="inlineStr">
        <is>
          <t>Set</t>
        </is>
      </c>
      <c r="F917" s="2" t="n">
        <v>2</v>
      </c>
      <c r="G917" s="2" t="n">
        <v>2</v>
      </c>
      <c r="H917" s="2" t="n">
        <v>2</v>
      </c>
      <c r="I917" s="2" t="n">
        <v>2</v>
      </c>
      <c r="J917" s="2" t="n">
        <v>2</v>
      </c>
      <c r="K917" s="2" t="n">
        <v>2</v>
      </c>
      <c r="L917" s="2" t="n">
        <v>0</v>
      </c>
      <c r="M917" s="2" t="n">
        <v>0</v>
      </c>
      <c r="N917" s="2" t="n">
        <v>0</v>
      </c>
      <c r="O917" s="2" t="n">
        <v>0</v>
      </c>
      <c r="P917" s="2" t="n">
        <v>0</v>
      </c>
      <c r="Q917" s="2" t="n">
        <v>12</v>
      </c>
      <c r="R917" s="2" t="n">
        <v>184</v>
      </c>
      <c r="S917" s="2" t="n"/>
      <c r="T917" s="2">
        <f>IF(OR(S917="",R917=0),"",ROUND(S917*R917,2))</f>
        <v/>
      </c>
      <c r="U917" s="2" t="inlineStr"/>
    </row>
    <row r="918">
      <c r="A918" s="2" t="inlineStr">
        <is>
          <t>Q</t>
        </is>
      </c>
      <c r="B918" s="2" t="inlineStr">
        <is>
          <t>INSTALLATIONS</t>
        </is>
      </c>
      <c r="C918" s="2" t="inlineStr">
        <is>
          <t>F</t>
        </is>
      </c>
      <c r="D918" s="2" t="inlineStr">
        <is>
          <t>EAF-GY-01, 215 L/s @ 100 Pa</t>
        </is>
      </c>
      <c r="E918" s="2" t="inlineStr">
        <is>
          <t>Set</t>
        </is>
      </c>
      <c r="F918" s="2" t="n">
        <v>0</v>
      </c>
      <c r="G918" s="2" t="n">
        <v>0</v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1</v>
      </c>
      <c r="O918" s="2" t="n">
        <v>0</v>
      </c>
      <c r="P918" s="2" t="n">
        <v>0</v>
      </c>
      <c r="Q918" s="2" t="n">
        <v>1</v>
      </c>
      <c r="R918" s="2" t="n">
        <v>1</v>
      </c>
      <c r="S918" s="2" t="n"/>
      <c r="T918" s="2">
        <f>IF(OR(S918="",R918=0),"",ROUND(S918*R918,2))</f>
        <v/>
      </c>
      <c r="U918" s="2" t="inlineStr"/>
    </row>
    <row r="919">
      <c r="A919" s="2" t="inlineStr">
        <is>
          <t>Q</t>
        </is>
      </c>
      <c r="B919" s="2" t="inlineStr">
        <is>
          <t>INSTALLATIONS</t>
        </is>
      </c>
      <c r="C919" s="2" t="inlineStr">
        <is>
          <t>G</t>
        </is>
      </c>
      <c r="D919" s="2" t="inlineStr">
        <is>
          <t>150mm diameter</t>
        </is>
      </c>
      <c r="E919" s="2" t="inlineStr">
        <is>
          <t>m</t>
        </is>
      </c>
      <c r="F919" s="2" t="n">
        <v>8</v>
      </c>
      <c r="G919" s="2" t="n">
        <v>8</v>
      </c>
      <c r="H919" s="2" t="n">
        <v>8</v>
      </c>
      <c r="I919" s="2" t="n">
        <v>8</v>
      </c>
      <c r="J919" s="2" t="n">
        <v>8</v>
      </c>
      <c r="K919" s="2" t="n">
        <v>8</v>
      </c>
      <c r="L919" s="2" t="n">
        <v>14</v>
      </c>
      <c r="M919" s="2" t="n">
        <v>14</v>
      </c>
      <c r="N919" s="2" t="n">
        <v>26</v>
      </c>
      <c r="O919" s="2" t="n">
        <v>0</v>
      </c>
      <c r="P919" s="2" t="n">
        <v>0</v>
      </c>
      <c r="Q919" s="2" t="n">
        <v>102</v>
      </c>
      <c r="R919" s="2" t="n">
        <v>1280</v>
      </c>
      <c r="S919" s="2" t="n"/>
      <c r="T919" s="2">
        <f>IF(OR(S919="",R919=0),"",ROUND(S919*R919,2))</f>
        <v/>
      </c>
      <c r="U919" s="2" t="inlineStr"/>
    </row>
    <row r="920">
      <c r="A920" s="2" t="inlineStr">
        <is>
          <t>Q</t>
        </is>
      </c>
      <c r="B920" s="2" t="inlineStr">
        <is>
          <t>INSTALLATIONS</t>
        </is>
      </c>
      <c r="C920" s="2" t="inlineStr">
        <is>
          <t>G</t>
        </is>
      </c>
      <c r="D920" s="2" t="inlineStr">
        <is>
          <t>SLSD-02, 2-Slot x 20mm Width, 1000mm L</t>
        </is>
      </c>
      <c r="E920" s="2" t="inlineStr">
        <is>
          <t>No</t>
        </is>
      </c>
      <c r="F920" s="2" t="n">
        <v>22</v>
      </c>
      <c r="G920" s="2" t="n">
        <v>22</v>
      </c>
      <c r="H920" s="2" t="n">
        <v>34</v>
      </c>
      <c r="I920" s="2" t="n">
        <v>34</v>
      </c>
      <c r="J920" s="2" t="n">
        <v>46</v>
      </c>
      <c r="K920" s="2" t="n">
        <v>46</v>
      </c>
      <c r="L920" s="2" t="n">
        <v>11</v>
      </c>
      <c r="M920" s="2" t="n">
        <v>11</v>
      </c>
      <c r="N920" s="2" t="n">
        <v>35</v>
      </c>
      <c r="O920" s="2" t="n">
        <v>0</v>
      </c>
      <c r="P920" s="2" t="n">
        <v>0</v>
      </c>
      <c r="Q920" s="2" t="n">
        <v>261</v>
      </c>
      <c r="R920" s="2" t="n">
        <v>3318</v>
      </c>
      <c r="S920" s="2" t="n"/>
      <c r="T920" s="2">
        <f>IF(OR(S920="",R920=0),"",ROUND(S920*R920,2))</f>
        <v/>
      </c>
      <c r="U920" s="2" t="inlineStr"/>
    </row>
    <row r="921">
      <c r="A921" s="2" t="inlineStr">
        <is>
          <t>Q</t>
        </is>
      </c>
      <c r="B921" s="2" t="inlineStr">
        <is>
          <t>INSTALLATIONS</t>
        </is>
      </c>
      <c r="C921" s="2" t="inlineStr">
        <is>
          <t>G</t>
        </is>
      </c>
      <c r="D921" s="2" t="inlineStr">
        <is>
          <t>SG-10, 1000mm x 150mm</t>
        </is>
      </c>
      <c r="E921" s="2" t="inlineStr">
        <is>
          <t>No</t>
        </is>
      </c>
      <c r="F921" s="2" t="n">
        <v>0</v>
      </c>
      <c r="G921" s="2" t="n">
        <v>0</v>
      </c>
      <c r="H921" s="2" t="n">
        <v>0</v>
      </c>
      <c r="I921" s="2" t="n">
        <v>0</v>
      </c>
      <c r="J921" s="2" t="n">
        <v>0</v>
      </c>
      <c r="K921" s="2" t="n">
        <v>0</v>
      </c>
      <c r="L921" s="2" t="n">
        <v>1</v>
      </c>
      <c r="M921" s="2" t="n">
        <v>1</v>
      </c>
      <c r="N921" s="2" t="n">
        <v>0</v>
      </c>
      <c r="O921" s="2" t="n">
        <v>0</v>
      </c>
      <c r="P921" s="2" t="n">
        <v>0</v>
      </c>
      <c r="Q921" s="2" t="n">
        <v>2</v>
      </c>
      <c r="R921" s="2" t="n">
        <v>37</v>
      </c>
      <c r="S921" s="2" t="n"/>
      <c r="T921" s="2">
        <f>IF(OR(S921="",R921=0),"",ROUND(S921*R921,2))</f>
        <v/>
      </c>
      <c r="U921" s="2" t="inlineStr"/>
    </row>
    <row r="922">
      <c r="A922" s="2" t="inlineStr">
        <is>
          <t>Q</t>
        </is>
      </c>
      <c r="B922" s="2" t="inlineStr">
        <is>
          <t>INSTALLATIONS</t>
        </is>
      </c>
      <c r="C922" s="2" t="inlineStr">
        <is>
          <t>G</t>
        </is>
      </c>
      <c r="D922" s="2" t="inlineStr">
        <is>
          <t>EAG, 450mm x 250mm</t>
        </is>
      </c>
      <c r="E922" s="2" t="inlineStr">
        <is>
          <t>No</t>
        </is>
      </c>
      <c r="F922" s="2" t="n">
        <v>0</v>
      </c>
      <c r="G922" s="2" t="n">
        <v>0</v>
      </c>
      <c r="H922" s="2" t="n">
        <v>0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  <c r="N922" s="2" t="n">
        <v>2</v>
      </c>
      <c r="O922" s="2" t="n">
        <v>0</v>
      </c>
      <c r="P922" s="2" t="n">
        <v>0</v>
      </c>
      <c r="Q922" s="2" t="n">
        <v>2</v>
      </c>
      <c r="R922" s="2" t="n">
        <v>2</v>
      </c>
      <c r="S922" s="2" t="n"/>
      <c r="T922" s="2">
        <f>IF(OR(S922="",R922=0),"",ROUND(S922*R922,2))</f>
        <v/>
      </c>
      <c r="U922" s="2" t="inlineStr"/>
    </row>
    <row r="923">
      <c r="A923" s="2" t="inlineStr">
        <is>
          <t>Q</t>
        </is>
      </c>
      <c r="B923" s="2" t="inlineStr">
        <is>
          <t>INSTALLATIONS</t>
        </is>
      </c>
      <c r="C923" s="2" t="inlineStr">
        <is>
          <t>G</t>
        </is>
      </c>
      <c r="D923" s="2" t="inlineStr">
        <is>
          <t>VCD, 150mm x 150mm</t>
        </is>
      </c>
      <c r="E923" s="2" t="inlineStr">
        <is>
          <t>No</t>
        </is>
      </c>
      <c r="F923" s="2" t="n">
        <v>2</v>
      </c>
      <c r="G923" s="2" t="n">
        <v>2</v>
      </c>
      <c r="H923" s="2" t="n">
        <v>2</v>
      </c>
      <c r="I923" s="2" t="n">
        <v>2</v>
      </c>
      <c r="J923" s="2" t="n">
        <v>2</v>
      </c>
      <c r="K923" s="2" t="n">
        <v>2</v>
      </c>
      <c r="L923" s="2" t="n">
        <v>1</v>
      </c>
      <c r="M923" s="2" t="n">
        <v>1</v>
      </c>
      <c r="N923" s="2" t="n">
        <v>0</v>
      </c>
      <c r="O923" s="2" t="n">
        <v>0</v>
      </c>
      <c r="P923" s="2" t="n">
        <v>0</v>
      </c>
      <c r="Q923" s="2" t="n">
        <v>14</v>
      </c>
      <c r="R923" s="2" t="n">
        <v>221</v>
      </c>
      <c r="S923" s="2" t="n"/>
      <c r="T923" s="2">
        <f>IF(OR(S923="",R923=0),"",ROUND(S923*R923,2))</f>
        <v/>
      </c>
      <c r="U923" s="2" t="inlineStr"/>
    </row>
    <row r="924">
      <c r="A924" s="2" t="inlineStr">
        <is>
          <t>Q</t>
        </is>
      </c>
      <c r="B924" s="2" t="inlineStr">
        <is>
          <t>INSTALLATIONS</t>
        </is>
      </c>
      <c r="C924" s="2" t="inlineStr">
        <is>
          <t>G</t>
        </is>
      </c>
      <c r="D924" s="2" t="inlineStr">
        <is>
          <t>4B-FCU-GF-03, 1.3 kW Total Cooling Capacity</t>
        </is>
      </c>
      <c r="E924" s="2" t="inlineStr">
        <is>
          <t>Set</t>
        </is>
      </c>
      <c r="F924" s="2" t="n">
        <v>2</v>
      </c>
      <c r="G924" s="2" t="n">
        <v>2</v>
      </c>
      <c r="H924" s="2" t="n">
        <v>2</v>
      </c>
      <c r="I924" s="2" t="n">
        <v>2</v>
      </c>
      <c r="J924" s="2" t="n">
        <v>2</v>
      </c>
      <c r="K924" s="2" t="n">
        <v>2</v>
      </c>
      <c r="L924" s="2" t="n">
        <v>0</v>
      </c>
      <c r="M924" s="2" t="n">
        <v>0</v>
      </c>
      <c r="N924" s="2" t="n">
        <v>0</v>
      </c>
      <c r="O924" s="2" t="n">
        <v>0</v>
      </c>
      <c r="P924" s="2" t="n">
        <v>0</v>
      </c>
      <c r="Q924" s="2" t="n">
        <v>12</v>
      </c>
      <c r="R924" s="2" t="n">
        <v>184</v>
      </c>
      <c r="S924" s="2" t="n"/>
      <c r="T924" s="2">
        <f>IF(OR(S924="",R924=0),"",ROUND(S924*R924,2))</f>
        <v/>
      </c>
      <c r="U924" s="2" t="inlineStr"/>
    </row>
    <row r="925">
      <c r="A925" s="2" t="inlineStr">
        <is>
          <t>Q</t>
        </is>
      </c>
      <c r="B925" s="2" t="inlineStr">
        <is>
          <t>INSTALLATIONS</t>
        </is>
      </c>
      <c r="C925" s="2" t="inlineStr">
        <is>
          <t>G</t>
        </is>
      </c>
      <c r="D925" s="2" t="inlineStr">
        <is>
          <t>EAF-YO-01, 105 L/s @ 100 Pa</t>
        </is>
      </c>
      <c r="E925" s="2" t="inlineStr">
        <is>
          <t>Set</t>
        </is>
      </c>
      <c r="F925" s="2" t="n">
        <v>0</v>
      </c>
      <c r="G925" s="2" t="n">
        <v>0</v>
      </c>
      <c r="H925" s="2" t="n">
        <v>0</v>
      </c>
      <c r="I925" s="2" t="n">
        <v>0</v>
      </c>
      <c r="J925" s="2" t="n">
        <v>0</v>
      </c>
      <c r="K925" s="2" t="n">
        <v>0</v>
      </c>
      <c r="L925" s="2" t="n">
        <v>0</v>
      </c>
      <c r="M925" s="2" t="n">
        <v>0</v>
      </c>
      <c r="N925" s="2" t="n">
        <v>1</v>
      </c>
      <c r="O925" s="2" t="n">
        <v>0</v>
      </c>
      <c r="P925" s="2" t="n">
        <v>0</v>
      </c>
      <c r="Q925" s="2" t="n">
        <v>1</v>
      </c>
      <c r="R925" s="2" t="n">
        <v>1</v>
      </c>
      <c r="S925" s="2" t="n"/>
      <c r="T925" s="2">
        <f>IF(OR(S925="",R925=0),"",ROUND(S925*R925,2))</f>
        <v/>
      </c>
      <c r="U925" s="2" t="inlineStr"/>
    </row>
    <row r="926">
      <c r="A926" s="2" t="inlineStr">
        <is>
          <t>Q</t>
        </is>
      </c>
      <c r="B926" s="2" t="inlineStr">
        <is>
          <t>INSTALLATIONS</t>
        </is>
      </c>
      <c r="C926" s="2" t="inlineStr">
        <is>
          <t>H</t>
        </is>
      </c>
      <c r="D926" s="2" t="inlineStr">
        <is>
          <t>200mm diameter</t>
        </is>
      </c>
      <c r="E926" s="2" t="inlineStr">
        <is>
          <t>m</t>
        </is>
      </c>
      <c r="F926" s="2" t="n">
        <v>32</v>
      </c>
      <c r="G926" s="2" t="n">
        <v>32</v>
      </c>
      <c r="H926" s="2" t="n">
        <v>53</v>
      </c>
      <c r="I926" s="2" t="n">
        <v>53</v>
      </c>
      <c r="J926" s="2" t="n">
        <v>73</v>
      </c>
      <c r="K926" s="2" t="n">
        <v>73</v>
      </c>
      <c r="L926" s="2" t="n">
        <v>10</v>
      </c>
      <c r="M926" s="2" t="n">
        <v>10</v>
      </c>
      <c r="N926" s="2" t="n">
        <v>5</v>
      </c>
      <c r="O926" s="2" t="n">
        <v>0</v>
      </c>
      <c r="P926" s="2" t="n">
        <v>0</v>
      </c>
      <c r="Q926" s="2" t="n">
        <v>341</v>
      </c>
      <c r="R926" s="2" t="n">
        <v>4794</v>
      </c>
      <c r="S926" s="2" t="n"/>
      <c r="T926" s="2">
        <f>IF(OR(S926="",R926=0),"",ROUND(S926*R926,2))</f>
        <v/>
      </c>
      <c r="U926" s="2" t="inlineStr"/>
    </row>
    <row r="927">
      <c r="A927" s="2" t="inlineStr">
        <is>
          <t>Q</t>
        </is>
      </c>
      <c r="B927" s="2" t="inlineStr">
        <is>
          <t>INSTALLATIONS</t>
        </is>
      </c>
      <c r="C927" s="2" t="inlineStr">
        <is>
          <t>H</t>
        </is>
      </c>
      <c r="D927" s="2" t="inlineStr">
        <is>
          <t>SLSD-03, 2-Slot x 20mm Width, 500mm L</t>
        </is>
      </c>
      <c r="E927" s="2" t="inlineStr">
        <is>
          <t>No</t>
        </is>
      </c>
      <c r="F927" s="2" t="n">
        <v>6</v>
      </c>
      <c r="G927" s="2" t="n">
        <v>6</v>
      </c>
      <c r="H927" s="2" t="n">
        <v>6</v>
      </c>
      <c r="I927" s="2" t="n">
        <v>6</v>
      </c>
      <c r="J927" s="2" t="n">
        <v>6</v>
      </c>
      <c r="K927" s="2" t="n">
        <v>6</v>
      </c>
      <c r="L927" s="2" t="n">
        <v>0</v>
      </c>
      <c r="M927" s="2" t="n">
        <v>0</v>
      </c>
      <c r="N927" s="2" t="n">
        <v>2</v>
      </c>
      <c r="O927" s="2" t="n">
        <v>0</v>
      </c>
      <c r="P927" s="2" t="n">
        <v>0</v>
      </c>
      <c r="Q927" s="2" t="n">
        <v>38</v>
      </c>
      <c r="R927" s="2" t="n">
        <v>554</v>
      </c>
      <c r="S927" s="2" t="n"/>
      <c r="T927" s="2">
        <f>IF(OR(S927="",R927=0),"",ROUND(S927*R927,2))</f>
        <v/>
      </c>
      <c r="U927" s="2" t="inlineStr"/>
    </row>
    <row r="928">
      <c r="A928" s="2" t="inlineStr">
        <is>
          <t>Q</t>
        </is>
      </c>
      <c r="B928" s="2" t="inlineStr">
        <is>
          <t>INSTALLATIONS</t>
        </is>
      </c>
      <c r="C928" s="2" t="inlineStr">
        <is>
          <t>H</t>
        </is>
      </c>
      <c r="D928" s="2" t="inlineStr">
        <is>
          <t>SG-11, 1050mm x 150mm</t>
        </is>
      </c>
      <c r="E928" s="2" t="inlineStr">
        <is>
          <t>No</t>
        </is>
      </c>
      <c r="F928" s="2" t="n">
        <v>0</v>
      </c>
      <c r="G928" s="2" t="n">
        <v>0</v>
      </c>
      <c r="H928" s="2" t="n">
        <v>0</v>
      </c>
      <c r="I928" s="2" t="n">
        <v>0</v>
      </c>
      <c r="J928" s="2" t="n">
        <v>0</v>
      </c>
      <c r="K928" s="2" t="n">
        <v>0</v>
      </c>
      <c r="L928" s="2" t="n">
        <v>1</v>
      </c>
      <c r="M928" s="2" t="n">
        <v>1</v>
      </c>
      <c r="N928" s="2" t="n">
        <v>0</v>
      </c>
      <c r="O928" s="2" t="n">
        <v>0</v>
      </c>
      <c r="P928" s="2" t="n">
        <v>0</v>
      </c>
      <c r="Q928" s="2" t="n">
        <v>2</v>
      </c>
      <c r="R928" s="2" t="n">
        <v>37</v>
      </c>
      <c r="S928" s="2" t="n"/>
      <c r="T928" s="2">
        <f>IF(OR(S928="",R928=0),"",ROUND(S928*R928,2))</f>
        <v/>
      </c>
      <c r="U928" s="2" t="inlineStr"/>
    </row>
    <row r="929">
      <c r="A929" s="2" t="inlineStr">
        <is>
          <t>Q</t>
        </is>
      </c>
      <c r="B929" s="2" t="inlineStr">
        <is>
          <t>INSTALLATIONS</t>
        </is>
      </c>
      <c r="C929" s="2" t="inlineStr">
        <is>
          <t>H</t>
        </is>
      </c>
      <c r="D929" s="2" t="inlineStr">
        <is>
          <t>EDV-01, 100mm diameter</t>
        </is>
      </c>
      <c r="E929" s="2" t="inlineStr">
        <is>
          <t>No</t>
        </is>
      </c>
      <c r="F929" s="2" t="n">
        <v>20</v>
      </c>
      <c r="G929" s="2" t="n">
        <v>20</v>
      </c>
      <c r="H929" s="2" t="n">
        <v>30</v>
      </c>
      <c r="I929" s="2" t="n">
        <v>30</v>
      </c>
      <c r="J929" s="2" t="n">
        <v>40</v>
      </c>
      <c r="K929" s="2" t="n">
        <v>40</v>
      </c>
      <c r="L929" s="2" t="n">
        <v>8</v>
      </c>
      <c r="M929" s="2" t="n">
        <v>8</v>
      </c>
      <c r="N929" s="2" t="n">
        <v>10</v>
      </c>
      <c r="O929" s="2" t="n">
        <v>0</v>
      </c>
      <c r="P929" s="2" t="n">
        <v>0</v>
      </c>
      <c r="Q929" s="2" t="n">
        <v>206</v>
      </c>
      <c r="R929" s="2" t="n">
        <v>2856</v>
      </c>
      <c r="S929" s="2" t="n"/>
      <c r="T929" s="2">
        <f>IF(OR(S929="",R929=0),"",ROUND(S929*R929,2))</f>
        <v/>
      </c>
      <c r="U929" s="2" t="inlineStr"/>
    </row>
    <row r="930">
      <c r="A930" s="2" t="inlineStr">
        <is>
          <t>Q</t>
        </is>
      </c>
      <c r="B930" s="2" t="inlineStr">
        <is>
          <t>INSTALLATIONS</t>
        </is>
      </c>
      <c r="C930" s="2" t="inlineStr">
        <is>
          <t>H</t>
        </is>
      </c>
      <c r="D930" s="2" t="inlineStr">
        <is>
          <t>VCD, 200mm x 100mm</t>
        </is>
      </c>
      <c r="E930" s="2" t="inlineStr">
        <is>
          <t>No</t>
        </is>
      </c>
      <c r="F930" s="2" t="n">
        <v>0</v>
      </c>
      <c r="G930" s="2" t="n">
        <v>0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1</v>
      </c>
      <c r="O930" s="2" t="n">
        <v>0</v>
      </c>
      <c r="P930" s="2" t="n">
        <v>0</v>
      </c>
      <c r="Q930" s="2" t="n">
        <v>1</v>
      </c>
      <c r="R930" s="2" t="n">
        <v>1</v>
      </c>
      <c r="S930" s="2" t="n"/>
      <c r="T930" s="2">
        <f>IF(OR(S930="",R930=0),"",ROUND(S930*R930,2))</f>
        <v/>
      </c>
      <c r="U930" s="2" t="inlineStr"/>
    </row>
    <row r="931">
      <c r="A931" s="2" t="inlineStr">
        <is>
          <t>Q</t>
        </is>
      </c>
      <c r="B931" s="2" t="inlineStr">
        <is>
          <t>INSTALLATIONS</t>
        </is>
      </c>
      <c r="C931" s="2" t="inlineStr">
        <is>
          <t>H</t>
        </is>
      </c>
      <c r="D931" s="2" t="inlineStr">
        <is>
          <t>4B-FCU-FF-01, 4.1 kW Total Cooling Capacity</t>
        </is>
      </c>
      <c r="E931" s="2" t="inlineStr">
        <is>
          <t>Set</t>
        </is>
      </c>
      <c r="F931" s="2" t="n">
        <v>2</v>
      </c>
      <c r="G931" s="2" t="n">
        <v>2</v>
      </c>
      <c r="H931" s="2" t="n">
        <v>2</v>
      </c>
      <c r="I931" s="2" t="n">
        <v>2</v>
      </c>
      <c r="J931" s="2" t="n">
        <v>2</v>
      </c>
      <c r="K931" s="2" t="n">
        <v>2</v>
      </c>
      <c r="L931" s="2" t="n">
        <v>0</v>
      </c>
      <c r="M931" s="2" t="n">
        <v>0</v>
      </c>
      <c r="N931" s="2" t="n">
        <v>0</v>
      </c>
      <c r="O931" s="2" t="n">
        <v>0</v>
      </c>
      <c r="P931" s="2" t="n">
        <v>0</v>
      </c>
      <c r="Q931" s="2" t="n">
        <v>12</v>
      </c>
      <c r="R931" s="2" t="n">
        <v>184</v>
      </c>
      <c r="S931" s="2" t="n"/>
      <c r="T931" s="2">
        <f>IF(OR(S931="",R931=0),"",ROUND(S931*R931,2))</f>
        <v/>
      </c>
      <c r="U931" s="2" t="inlineStr"/>
    </row>
    <row r="932">
      <c r="A932" s="2" t="inlineStr">
        <is>
          <t>Q</t>
        </is>
      </c>
      <c r="B932" s="2" t="inlineStr">
        <is>
          <t>INSTALLATIONS</t>
        </is>
      </c>
      <c r="C932" s="2" t="inlineStr">
        <is>
          <t>H</t>
        </is>
      </c>
      <c r="D932" s="2" t="inlineStr">
        <is>
          <t>EAF-SB-01, 50 L/s @ 100 Pa</t>
        </is>
      </c>
      <c r="E932" s="2" t="inlineStr">
        <is>
          <t>Set</t>
        </is>
      </c>
      <c r="F932" s="2" t="n">
        <v>0</v>
      </c>
      <c r="G932" s="2" t="n">
        <v>0</v>
      </c>
      <c r="H932" s="2" t="n">
        <v>0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</v>
      </c>
      <c r="N932" s="2" t="n">
        <v>1</v>
      </c>
      <c r="O932" s="2" t="n">
        <v>0</v>
      </c>
      <c r="P932" s="2" t="n">
        <v>0</v>
      </c>
      <c r="Q932" s="2" t="n">
        <v>1</v>
      </c>
      <c r="R932" s="2" t="n">
        <v>1</v>
      </c>
      <c r="S932" s="2" t="n"/>
      <c r="T932" s="2">
        <f>IF(OR(S932="",R932=0),"",ROUND(S932*R932,2))</f>
        <v/>
      </c>
      <c r="U932" s="2" t="inlineStr"/>
    </row>
    <row r="933">
      <c r="A933" s="2" t="inlineStr">
        <is>
          <t>Q</t>
        </is>
      </c>
      <c r="B933" s="2" t="inlineStr">
        <is>
          <t>INSTALLATIONS</t>
        </is>
      </c>
      <c r="C933" s="2" t="inlineStr">
        <is>
          <t>J</t>
        </is>
      </c>
      <c r="D933" s="2" t="inlineStr">
        <is>
          <t>250mm diameter</t>
        </is>
      </c>
      <c r="E933" s="2" t="inlineStr">
        <is>
          <t>m</t>
        </is>
      </c>
      <c r="F933" s="2" t="n">
        <v>0</v>
      </c>
      <c r="G933" s="2" t="n">
        <v>0</v>
      </c>
      <c r="H933" s="2" t="n">
        <v>0</v>
      </c>
      <c r="I933" s="2" t="n">
        <v>0</v>
      </c>
      <c r="J933" s="2" t="n">
        <v>0</v>
      </c>
      <c r="K933" s="2" t="n">
        <v>0</v>
      </c>
      <c r="L933" s="2" t="n">
        <v>0</v>
      </c>
      <c r="M933" s="2" t="n">
        <v>0</v>
      </c>
      <c r="N933" s="2" t="n">
        <v>19</v>
      </c>
      <c r="O933" s="2" t="n">
        <v>0</v>
      </c>
      <c r="P933" s="2" t="n">
        <v>0</v>
      </c>
      <c r="Q933" s="2" t="n">
        <v>19</v>
      </c>
      <c r="R933" s="2" t="n">
        <v>19</v>
      </c>
      <c r="S933" s="2" t="n"/>
      <c r="T933" s="2">
        <f>IF(OR(S933="",R933=0),"",ROUND(S933*R933,2))</f>
        <v/>
      </c>
      <c r="U933" s="2" t="inlineStr"/>
    </row>
    <row r="934">
      <c r="A934" s="2" t="inlineStr">
        <is>
          <t>Q</t>
        </is>
      </c>
      <c r="B934" s="2" t="inlineStr">
        <is>
          <t>INSTALLATIONS</t>
        </is>
      </c>
      <c r="C934" s="2" t="inlineStr">
        <is>
          <t>J</t>
        </is>
      </c>
      <c r="D934" s="2" t="inlineStr">
        <is>
          <t>SLSD-04, 2-Slot x 20mm Width, 1500mm L</t>
        </is>
      </c>
      <c r="E934" s="2" t="inlineStr">
        <is>
          <t>No</t>
        </is>
      </c>
      <c r="F934" s="2" t="n">
        <v>0</v>
      </c>
      <c r="G934" s="2" t="n">
        <v>0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24</v>
      </c>
      <c r="O934" s="2" t="n">
        <v>0</v>
      </c>
      <c r="P934" s="2" t="n">
        <v>0</v>
      </c>
      <c r="Q934" s="2" t="n">
        <v>24</v>
      </c>
      <c r="R934" s="2" t="n">
        <v>24</v>
      </c>
      <c r="S934" s="2" t="n"/>
      <c r="T934" s="2">
        <f>IF(OR(S934="",R934=0),"",ROUND(S934*R934,2))</f>
        <v/>
      </c>
      <c r="U934" s="2" t="inlineStr"/>
    </row>
    <row r="935">
      <c r="A935" s="2" t="inlineStr">
        <is>
          <t>Q</t>
        </is>
      </c>
      <c r="B935" s="2" t="inlineStr">
        <is>
          <t>INSTALLATIONS</t>
        </is>
      </c>
      <c r="C935" s="2" t="inlineStr">
        <is>
          <t>J</t>
        </is>
      </c>
      <c r="D935" s="2" t="inlineStr">
        <is>
          <t>SG-12, 1150mm x 150mm</t>
        </is>
      </c>
      <c r="E935" s="2" t="inlineStr">
        <is>
          <t>No</t>
        </is>
      </c>
      <c r="F935" s="2" t="n">
        <v>0</v>
      </c>
      <c r="G935" s="2" t="n">
        <v>0</v>
      </c>
      <c r="H935" s="2" t="n">
        <v>0</v>
      </c>
      <c r="I935" s="2" t="n">
        <v>0</v>
      </c>
      <c r="J935" s="2" t="n">
        <v>0</v>
      </c>
      <c r="K935" s="2" t="n">
        <v>0</v>
      </c>
      <c r="L935" s="2" t="n">
        <v>1</v>
      </c>
      <c r="M935" s="2" t="n">
        <v>1</v>
      </c>
      <c r="N935" s="2" t="n">
        <v>0</v>
      </c>
      <c r="O935" s="2" t="n">
        <v>0</v>
      </c>
      <c r="P935" s="2" t="n">
        <v>0</v>
      </c>
      <c r="Q935" s="2" t="n">
        <v>2</v>
      </c>
      <c r="R935" s="2" t="n">
        <v>37</v>
      </c>
      <c r="S935" s="2" t="n"/>
      <c r="T935" s="2">
        <f>IF(OR(S935="",R935=0),"",ROUND(S935*R935,2))</f>
        <v/>
      </c>
      <c r="U935" s="2" t="inlineStr"/>
    </row>
    <row r="936">
      <c r="A936" s="2" t="inlineStr">
        <is>
          <t>Q</t>
        </is>
      </c>
      <c r="B936" s="2" t="inlineStr">
        <is>
          <t>INSTALLATIONS</t>
        </is>
      </c>
      <c r="C936" s="2" t="inlineStr">
        <is>
          <t>J</t>
        </is>
      </c>
      <c r="D936" s="2" t="inlineStr">
        <is>
          <t>EDV-02, 200mm diameter</t>
        </is>
      </c>
      <c r="E936" s="2" t="inlineStr">
        <is>
          <t>No</t>
        </is>
      </c>
      <c r="F936" s="2" t="n">
        <v>2</v>
      </c>
      <c r="G936" s="2" t="n">
        <v>2</v>
      </c>
      <c r="H936" s="2" t="n">
        <v>2</v>
      </c>
      <c r="I936" s="2" t="n">
        <v>2</v>
      </c>
      <c r="J936" s="2" t="n">
        <v>2</v>
      </c>
      <c r="K936" s="2" t="n">
        <v>2</v>
      </c>
      <c r="L936" s="2" t="n">
        <v>0</v>
      </c>
      <c r="M936" s="2" t="n">
        <v>0</v>
      </c>
      <c r="N936" s="2" t="n">
        <v>7</v>
      </c>
      <c r="O936" s="2" t="n">
        <v>1</v>
      </c>
      <c r="P936" s="2" t="n">
        <v>0</v>
      </c>
      <c r="Q936" s="2" t="n">
        <v>20</v>
      </c>
      <c r="R936" s="2" t="n">
        <v>192</v>
      </c>
      <c r="S936" s="2" t="n"/>
      <c r="T936" s="2">
        <f>IF(OR(S936="",R936=0),"",ROUND(S936*R936,2))</f>
        <v/>
      </c>
      <c r="U936" s="2" t="inlineStr"/>
    </row>
    <row r="937">
      <c r="A937" s="2" t="inlineStr">
        <is>
          <t>Q</t>
        </is>
      </c>
      <c r="B937" s="2" t="inlineStr">
        <is>
          <t>INSTALLATIONS</t>
        </is>
      </c>
      <c r="C937" s="2" t="inlineStr">
        <is>
          <t>J</t>
        </is>
      </c>
      <c r="D937" s="2" t="inlineStr">
        <is>
          <t>VCD, 200mm x 150mm</t>
        </is>
      </c>
      <c r="E937" s="2" t="inlineStr">
        <is>
          <t>No</t>
        </is>
      </c>
      <c r="F937" s="2" t="n">
        <v>6</v>
      </c>
      <c r="G937" s="2" t="n">
        <v>6</v>
      </c>
      <c r="H937" s="2" t="n">
        <v>10</v>
      </c>
      <c r="I937" s="2" t="n">
        <v>10</v>
      </c>
      <c r="J937" s="2" t="n">
        <v>14</v>
      </c>
      <c r="K937" s="2" t="n">
        <v>14</v>
      </c>
      <c r="L937" s="2" t="n">
        <v>6</v>
      </c>
      <c r="M937" s="2" t="n">
        <v>6</v>
      </c>
      <c r="N937" s="2" t="n">
        <v>2</v>
      </c>
      <c r="O937" s="2" t="n">
        <v>0</v>
      </c>
      <c r="P937" s="2" t="n">
        <v>0</v>
      </c>
      <c r="Q937" s="2" t="n">
        <v>74</v>
      </c>
      <c r="R937" s="2" t="n">
        <v>1060</v>
      </c>
      <c r="S937" s="2" t="n"/>
      <c r="T937" s="2">
        <f>IF(OR(S937="",R937=0),"",ROUND(S937*R937,2))</f>
        <v/>
      </c>
      <c r="U937" s="2" t="inlineStr"/>
    </row>
    <row r="938">
      <c r="A938" s="2" t="inlineStr">
        <is>
          <t>Q</t>
        </is>
      </c>
      <c r="B938" s="2" t="inlineStr">
        <is>
          <t>INSTALLATIONS</t>
        </is>
      </c>
      <c r="C938" s="2" t="inlineStr">
        <is>
          <t>J</t>
        </is>
      </c>
      <c r="D938" s="2" t="inlineStr">
        <is>
          <t>4B-FCU-FF-02, 4.1 kW Total Cooling Capacity</t>
        </is>
      </c>
      <c r="E938" s="2" t="inlineStr">
        <is>
          <t>Set</t>
        </is>
      </c>
      <c r="F938" s="2" t="n">
        <v>2</v>
      </c>
      <c r="G938" s="2" t="n">
        <v>2</v>
      </c>
      <c r="H938" s="2" t="n">
        <v>2</v>
      </c>
      <c r="I938" s="2" t="n">
        <v>2</v>
      </c>
      <c r="J938" s="2" t="n">
        <v>2</v>
      </c>
      <c r="K938" s="2" t="n">
        <v>2</v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0</v>
      </c>
      <c r="Q938" s="2" t="n">
        <v>12</v>
      </c>
      <c r="R938" s="2" t="n">
        <v>184</v>
      </c>
      <c r="S938" s="2" t="n"/>
      <c r="T938" s="2">
        <f>IF(OR(S938="",R938=0),"",ROUND(S938*R938,2))</f>
        <v/>
      </c>
      <c r="U938" s="2" t="inlineStr"/>
    </row>
    <row r="939">
      <c r="A939" s="2" t="inlineStr">
        <is>
          <t>Q</t>
        </is>
      </c>
      <c r="B939" s="2" t="inlineStr">
        <is>
          <t>INSTALLATIONS</t>
        </is>
      </c>
      <c r="C939" s="2" t="inlineStr">
        <is>
          <t>J</t>
        </is>
      </c>
      <c r="D939" s="2" t="inlineStr">
        <is>
          <t>EAF-SB-02, 72 L/s @ 150 Pa</t>
        </is>
      </c>
      <c r="E939" s="2" t="inlineStr">
        <is>
          <t>Set</t>
        </is>
      </c>
      <c r="F939" s="2" t="n">
        <v>0</v>
      </c>
      <c r="G939" s="2" t="n">
        <v>0</v>
      </c>
      <c r="H939" s="2" t="n">
        <v>0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  <c r="N939" s="2" t="n">
        <v>1</v>
      </c>
      <c r="O939" s="2" t="n">
        <v>0</v>
      </c>
      <c r="P939" s="2" t="n">
        <v>0</v>
      </c>
      <c r="Q939" s="2" t="n">
        <v>1</v>
      </c>
      <c r="R939" s="2" t="n">
        <v>1</v>
      </c>
      <c r="S939" s="2" t="n"/>
      <c r="T939" s="2">
        <f>IF(OR(S939="",R939=0),"",ROUND(S939*R939,2))</f>
        <v/>
      </c>
      <c r="U939" s="2" t="inlineStr"/>
    </row>
    <row r="940">
      <c r="A940" s="2" t="inlineStr">
        <is>
          <t>Q</t>
        </is>
      </c>
      <c r="B940" s="2" t="inlineStr">
        <is>
          <t>INSTALLATIONS</t>
        </is>
      </c>
      <c r="C940" s="2" t="inlineStr">
        <is>
          <t>K</t>
        </is>
      </c>
      <c r="D940" s="2" t="inlineStr">
        <is>
          <t>25mm thick fiberglass, 24 kg/m3 density</t>
        </is>
      </c>
      <c r="E940" s="2" t="inlineStr">
        <is>
          <t>m²</t>
        </is>
      </c>
      <c r="F940" s="2" t="n">
        <v>47</v>
      </c>
      <c r="G940" s="2" t="n">
        <v>47</v>
      </c>
      <c r="H940" s="2" t="n">
        <v>63</v>
      </c>
      <c r="I940" s="2" t="n">
        <v>63</v>
      </c>
      <c r="J940" s="2" t="n">
        <v>78</v>
      </c>
      <c r="K940" s="2" t="n">
        <v>78</v>
      </c>
      <c r="L940" s="2" t="n">
        <v>30</v>
      </c>
      <c r="M940" s="2" t="n">
        <v>30</v>
      </c>
      <c r="N940" s="2" t="n">
        <v>33</v>
      </c>
      <c r="O940" s="2" t="n">
        <v>0</v>
      </c>
      <c r="P940" s="2" t="n">
        <v>0</v>
      </c>
      <c r="Q940" s="2" t="n">
        <v>469</v>
      </c>
      <c r="R940" s="2" t="n">
        <v>6587</v>
      </c>
      <c r="S940" s="2" t="n"/>
      <c r="T940" s="2">
        <f>IF(OR(S940="",R940=0),"",ROUND(S940*R940,2))</f>
        <v/>
      </c>
      <c r="U940" s="2" t="inlineStr"/>
    </row>
    <row r="941">
      <c r="A941" s="2" t="inlineStr">
        <is>
          <t>Q</t>
        </is>
      </c>
      <c r="B941" s="2" t="inlineStr">
        <is>
          <t>INSTALLATIONS</t>
        </is>
      </c>
      <c r="C941" s="2" t="inlineStr">
        <is>
          <t>K</t>
        </is>
      </c>
      <c r="D941" s="2" t="inlineStr">
        <is>
          <t>RLSD-01, 1-Slot x 20mm Width, 1000mm L</t>
        </is>
      </c>
      <c r="E941" s="2" t="inlineStr">
        <is>
          <t>No</t>
        </is>
      </c>
      <c r="F941" s="2" t="n">
        <v>0</v>
      </c>
      <c r="G941" s="2" t="n">
        <v>0</v>
      </c>
      <c r="H941" s="2" t="n">
        <v>0</v>
      </c>
      <c r="I941" s="2" t="n">
        <v>0</v>
      </c>
      <c r="J941" s="2" t="n">
        <v>0</v>
      </c>
      <c r="K941" s="2" t="n">
        <v>0</v>
      </c>
      <c r="L941" s="2" t="n">
        <v>1</v>
      </c>
      <c r="M941" s="2" t="n">
        <v>1</v>
      </c>
      <c r="N941" s="2" t="n">
        <v>0</v>
      </c>
      <c r="O941" s="2" t="n">
        <v>0</v>
      </c>
      <c r="P941" s="2" t="n">
        <v>0</v>
      </c>
      <c r="Q941" s="2" t="n">
        <v>2</v>
      </c>
      <c r="R941" s="2" t="n">
        <v>37</v>
      </c>
      <c r="S941" s="2" t="n"/>
      <c r="T941" s="2">
        <f>IF(OR(S941="",R941=0),"",ROUND(S941*R941,2))</f>
        <v/>
      </c>
      <c r="U941" s="2" t="inlineStr"/>
    </row>
    <row r="942">
      <c r="A942" s="2" t="inlineStr">
        <is>
          <t>Q</t>
        </is>
      </c>
      <c r="B942" s="2" t="inlineStr">
        <is>
          <t>INSTALLATIONS</t>
        </is>
      </c>
      <c r="C942" s="2" t="inlineStr">
        <is>
          <t>K</t>
        </is>
      </c>
      <c r="D942" s="2" t="inlineStr">
        <is>
          <t>RG-01, 300mm x 150mm</t>
        </is>
      </c>
      <c r="E942" s="2" t="inlineStr">
        <is>
          <t>No</t>
        </is>
      </c>
      <c r="F942" s="2" t="n">
        <v>0</v>
      </c>
      <c r="G942" s="2" t="n">
        <v>0</v>
      </c>
      <c r="H942" s="2" t="n">
        <v>0</v>
      </c>
      <c r="I942" s="2" t="n">
        <v>0</v>
      </c>
      <c r="J942" s="2" t="n">
        <v>0</v>
      </c>
      <c r="K942" s="2" t="n">
        <v>0</v>
      </c>
      <c r="L942" s="2" t="n">
        <v>1</v>
      </c>
      <c r="M942" s="2" t="n">
        <v>1</v>
      </c>
      <c r="N942" s="2" t="n">
        <v>0</v>
      </c>
      <c r="O942" s="2" t="n">
        <v>0</v>
      </c>
      <c r="P942" s="2" t="n">
        <v>0</v>
      </c>
      <c r="Q942" s="2" t="n">
        <v>2</v>
      </c>
      <c r="R942" s="2" t="n">
        <v>37</v>
      </c>
      <c r="S942" s="2" t="n"/>
      <c r="T942" s="2">
        <f>IF(OR(S942="",R942=0),"",ROUND(S942*R942,2))</f>
        <v/>
      </c>
      <c r="U942" s="2" t="inlineStr"/>
    </row>
    <row r="943">
      <c r="A943" s="2" t="inlineStr">
        <is>
          <t>Q</t>
        </is>
      </c>
      <c r="B943" s="2" t="inlineStr">
        <is>
          <t>INSTALLATIONS</t>
        </is>
      </c>
      <c r="C943" s="2" t="inlineStr">
        <is>
          <t>K</t>
        </is>
      </c>
      <c r="D943" s="2" t="inlineStr">
        <is>
          <t>FAL, 250mm x 200mm</t>
        </is>
      </c>
      <c r="E943" s="2" t="inlineStr">
        <is>
          <t>No</t>
        </is>
      </c>
      <c r="F943" s="2" t="n">
        <v>0</v>
      </c>
      <c r="G943" s="2" t="n">
        <v>0</v>
      </c>
      <c r="H943" s="2" t="n">
        <v>0</v>
      </c>
      <c r="I943" s="2" t="n">
        <v>0</v>
      </c>
      <c r="J943" s="2" t="n">
        <v>0</v>
      </c>
      <c r="K943" s="2" t="n">
        <v>0</v>
      </c>
      <c r="L943" s="2" t="n">
        <v>1</v>
      </c>
      <c r="M943" s="2" t="n">
        <v>1</v>
      </c>
      <c r="N943" s="2" t="n">
        <v>0</v>
      </c>
      <c r="O943" s="2" t="n">
        <v>0</v>
      </c>
      <c r="P943" s="2" t="n">
        <v>0</v>
      </c>
      <c r="Q943" s="2" t="n">
        <v>2</v>
      </c>
      <c r="R943" s="2" t="n">
        <v>37</v>
      </c>
      <c r="S943" s="2" t="n"/>
      <c r="T943" s="2">
        <f>IF(OR(S943="",R943=0),"",ROUND(S943*R943,2))</f>
        <v/>
      </c>
      <c r="U943" s="2" t="inlineStr"/>
    </row>
    <row r="944">
      <c r="A944" s="2" t="inlineStr">
        <is>
          <t>Q</t>
        </is>
      </c>
      <c r="B944" s="2" t="inlineStr">
        <is>
          <t>INSTALLATIONS</t>
        </is>
      </c>
      <c r="C944" s="2" t="inlineStr">
        <is>
          <t>K</t>
        </is>
      </c>
      <c r="D944" s="2" t="inlineStr">
        <is>
          <t>VCD, 200mm x 200mm</t>
        </is>
      </c>
      <c r="E944" s="2" t="inlineStr">
        <is>
          <t>No</t>
        </is>
      </c>
      <c r="F944" s="2" t="n">
        <v>16</v>
      </c>
      <c r="G944" s="2" t="n">
        <v>16</v>
      </c>
      <c r="H944" s="2" t="n">
        <v>22</v>
      </c>
      <c r="I944" s="2" t="n">
        <v>22</v>
      </c>
      <c r="J944" s="2" t="n">
        <v>28</v>
      </c>
      <c r="K944" s="2" t="n">
        <v>28</v>
      </c>
      <c r="L944" s="2" t="n">
        <v>2</v>
      </c>
      <c r="M944" s="2" t="n">
        <v>2</v>
      </c>
      <c r="N944" s="2" t="n">
        <v>3</v>
      </c>
      <c r="O944" s="2" t="n">
        <v>0</v>
      </c>
      <c r="P944" s="2" t="n">
        <v>0</v>
      </c>
      <c r="Q944" s="2" t="n">
        <v>139</v>
      </c>
      <c r="R944" s="2" t="n">
        <v>1975</v>
      </c>
      <c r="S944" s="2" t="n"/>
      <c r="T944" s="2">
        <f>IF(OR(S944="",R944=0),"",ROUND(S944*R944,2))</f>
        <v/>
      </c>
      <c r="U944" s="2" t="inlineStr"/>
    </row>
    <row r="945">
      <c r="A945" s="2" t="inlineStr">
        <is>
          <t>Q</t>
        </is>
      </c>
      <c r="B945" s="2" t="inlineStr">
        <is>
          <t>INSTALLATIONS</t>
        </is>
      </c>
      <c r="C945" s="2" t="inlineStr">
        <is>
          <t>K</t>
        </is>
      </c>
      <c r="D945" s="2" t="inlineStr">
        <is>
          <t>4B-FCU-FF-03, 6.6 kW Total Cooling Capacity</t>
        </is>
      </c>
      <c r="E945" s="2" t="inlineStr">
        <is>
          <t>Set</t>
        </is>
      </c>
      <c r="F945" s="2" t="n">
        <v>2</v>
      </c>
      <c r="G945" s="2" t="n">
        <v>2</v>
      </c>
      <c r="H945" s="2" t="n">
        <v>2</v>
      </c>
      <c r="I945" s="2" t="n">
        <v>2</v>
      </c>
      <c r="J945" s="2" t="n">
        <v>2</v>
      </c>
      <c r="K945" s="2" t="n">
        <v>2</v>
      </c>
      <c r="L945" s="2" t="n">
        <v>0</v>
      </c>
      <c r="M945" s="2" t="n">
        <v>0</v>
      </c>
      <c r="N945" s="2" t="n">
        <v>0</v>
      </c>
      <c r="O945" s="2" t="n">
        <v>0</v>
      </c>
      <c r="P945" s="2" t="n">
        <v>0</v>
      </c>
      <c r="Q945" s="2" t="n">
        <v>12</v>
      </c>
      <c r="R945" s="2" t="n">
        <v>184</v>
      </c>
      <c r="S945" s="2" t="n"/>
      <c r="T945" s="2">
        <f>IF(OR(S945="",R945=0),"",ROUND(S945*R945,2))</f>
        <v/>
      </c>
      <c r="U945" s="2" t="inlineStr"/>
    </row>
    <row r="946">
      <c r="A946" s="2" t="inlineStr">
        <is>
          <t>Q</t>
        </is>
      </c>
      <c r="B946" s="2" t="inlineStr">
        <is>
          <t>INSTALLATIONS</t>
        </is>
      </c>
      <c r="C946" s="2" t="inlineStr">
        <is>
          <t>K</t>
        </is>
      </c>
      <c r="D946" s="2" t="inlineStr">
        <is>
          <t>GH-EAF-01, 25 L/s @ 100 Pa</t>
        </is>
      </c>
      <c r="E946" s="2" t="inlineStr">
        <is>
          <t>Set</t>
        </is>
      </c>
      <c r="F946" s="2" t="n">
        <v>0</v>
      </c>
      <c r="G946" s="2" t="n">
        <v>0</v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 t="n">
        <v>1</v>
      </c>
      <c r="P946" s="2" t="n">
        <v>0</v>
      </c>
      <c r="Q946" s="2" t="n">
        <v>1</v>
      </c>
      <c r="R946" s="2" t="n">
        <v>1</v>
      </c>
      <c r="S946" s="2" t="n"/>
      <c r="T946" s="2">
        <f>IF(OR(S946="",R946=0),"",ROUND(S946*R946,2))</f>
        <v/>
      </c>
      <c r="U946" s="2" t="inlineStr"/>
    </row>
    <row r="947">
      <c r="A947" s="2" t="inlineStr">
        <is>
          <t>Q</t>
        </is>
      </c>
      <c r="B947" s="2" t="inlineStr">
        <is>
          <t>INSTALLATIONS</t>
        </is>
      </c>
      <c r="C947" s="2" t="inlineStr">
        <is>
          <t>L</t>
        </is>
      </c>
      <c r="D947" s="2" t="inlineStr">
        <is>
          <t>RLSD-02, 2-Slot x 20mm Width, 1000mm L</t>
        </is>
      </c>
      <c r="E947" s="2" t="inlineStr">
        <is>
          <t>No</t>
        </is>
      </c>
      <c r="F947" s="2" t="n">
        <v>22</v>
      </c>
      <c r="G947" s="2" t="n">
        <v>22</v>
      </c>
      <c r="H947" s="2" t="n">
        <v>34</v>
      </c>
      <c r="I947" s="2" t="n">
        <v>34</v>
      </c>
      <c r="J947" s="2" t="n">
        <v>46</v>
      </c>
      <c r="K947" s="2" t="n">
        <v>46</v>
      </c>
      <c r="L947" s="2" t="n">
        <v>10</v>
      </c>
      <c r="M947" s="2" t="n">
        <v>10</v>
      </c>
      <c r="N947" s="2" t="n">
        <v>45</v>
      </c>
      <c r="O947" s="2" t="n">
        <v>0</v>
      </c>
      <c r="P947" s="2" t="n">
        <v>0</v>
      </c>
      <c r="Q947" s="2" t="n">
        <v>269</v>
      </c>
      <c r="R947" s="2" t="n">
        <v>3291</v>
      </c>
      <c r="S947" s="2" t="n"/>
      <c r="T947" s="2">
        <f>IF(OR(S947="",R947=0),"",ROUND(S947*R947,2))</f>
        <v/>
      </c>
      <c r="U947" s="2" t="inlineStr"/>
    </row>
    <row r="948">
      <c r="A948" s="2" t="inlineStr">
        <is>
          <t>Q</t>
        </is>
      </c>
      <c r="B948" s="2" t="inlineStr">
        <is>
          <t>INSTALLATIONS</t>
        </is>
      </c>
      <c r="C948" s="2" t="inlineStr">
        <is>
          <t>L</t>
        </is>
      </c>
      <c r="D948" s="2" t="inlineStr">
        <is>
          <t>RG-02, 350mm x 150mm</t>
        </is>
      </c>
      <c r="E948" s="2" t="inlineStr">
        <is>
          <t>No</t>
        </is>
      </c>
      <c r="F948" s="2" t="n">
        <v>0</v>
      </c>
      <c r="G948" s="2" t="n">
        <v>0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1</v>
      </c>
      <c r="M948" s="2" t="n">
        <v>1</v>
      </c>
      <c r="N948" s="2" t="n">
        <v>0</v>
      </c>
      <c r="O948" s="2" t="n">
        <v>0</v>
      </c>
      <c r="P948" s="2" t="n">
        <v>0</v>
      </c>
      <c r="Q948" s="2" t="n">
        <v>2</v>
      </c>
      <c r="R948" s="2" t="n">
        <v>37</v>
      </c>
      <c r="S948" s="2" t="n"/>
      <c r="T948" s="2">
        <f>IF(OR(S948="",R948=0),"",ROUND(S948*R948,2))</f>
        <v/>
      </c>
      <c r="U948" s="2" t="inlineStr"/>
    </row>
    <row r="949">
      <c r="A949" s="2" t="inlineStr">
        <is>
          <t>Q</t>
        </is>
      </c>
      <c r="B949" s="2" t="inlineStr">
        <is>
          <t>INSTALLATIONS</t>
        </is>
      </c>
      <c r="C949" s="2" t="inlineStr">
        <is>
          <t>L</t>
        </is>
      </c>
      <c r="D949" s="2" t="inlineStr">
        <is>
          <t>FAL, 300mm x 200mm</t>
        </is>
      </c>
      <c r="E949" s="2" t="inlineStr">
        <is>
          <t>No</t>
        </is>
      </c>
      <c r="F949" s="2" t="n">
        <v>0</v>
      </c>
      <c r="G949" s="2" t="n">
        <v>0</v>
      </c>
      <c r="H949" s="2" t="n">
        <v>0</v>
      </c>
      <c r="I949" s="2" t="n">
        <v>0</v>
      </c>
      <c r="J949" s="2" t="n">
        <v>0</v>
      </c>
      <c r="K949" s="2" t="n">
        <v>0</v>
      </c>
      <c r="L949" s="2" t="n">
        <v>0</v>
      </c>
      <c r="M949" s="2" t="n">
        <v>0</v>
      </c>
      <c r="N949" s="2" t="n">
        <v>1</v>
      </c>
      <c r="O949" s="2" t="n">
        <v>0</v>
      </c>
      <c r="P949" s="2" t="n">
        <v>0</v>
      </c>
      <c r="Q949" s="2" t="n">
        <v>1</v>
      </c>
      <c r="R949" s="2" t="n">
        <v>1</v>
      </c>
      <c r="S949" s="2" t="n"/>
      <c r="T949" s="2">
        <f>IF(OR(S949="",R949=0),"",ROUND(S949*R949,2))</f>
        <v/>
      </c>
      <c r="U949" s="2" t="inlineStr"/>
    </row>
    <row r="950">
      <c r="A950" s="2" t="inlineStr">
        <is>
          <t>Q</t>
        </is>
      </c>
      <c r="B950" s="2" t="inlineStr">
        <is>
          <t>INSTALLATIONS</t>
        </is>
      </c>
      <c r="C950" s="2" t="inlineStr">
        <is>
          <t>L</t>
        </is>
      </c>
      <c r="D950" s="2" t="inlineStr">
        <is>
          <t>VCD, 250mm x 150mm</t>
        </is>
      </c>
      <c r="E950" s="2" t="inlineStr">
        <is>
          <t>No</t>
        </is>
      </c>
      <c r="F950" s="2" t="n">
        <v>0</v>
      </c>
      <c r="G950" s="2" t="n">
        <v>0</v>
      </c>
      <c r="H950" s="2" t="n">
        <v>0</v>
      </c>
      <c r="I950" s="2" t="n">
        <v>0</v>
      </c>
      <c r="J950" s="2" t="n">
        <v>0</v>
      </c>
      <c r="K950" s="2" t="n">
        <v>0</v>
      </c>
      <c r="L950" s="2" t="n">
        <v>1</v>
      </c>
      <c r="M950" s="2" t="n">
        <v>1</v>
      </c>
      <c r="N950" s="2" t="n">
        <v>2</v>
      </c>
      <c r="O950" s="2" t="n">
        <v>0</v>
      </c>
      <c r="P950" s="2" t="n">
        <v>0</v>
      </c>
      <c r="Q950" s="2" t="n">
        <v>4</v>
      </c>
      <c r="R950" s="2" t="n">
        <v>39</v>
      </c>
      <c r="S950" s="2" t="n"/>
      <c r="T950" s="2">
        <f>IF(OR(S950="",R950=0),"",ROUND(S950*R950,2))</f>
        <v/>
      </c>
      <c r="U950" s="2" t="inlineStr"/>
    </row>
    <row r="951">
      <c r="A951" s="2" t="inlineStr">
        <is>
          <t>Q</t>
        </is>
      </c>
      <c r="B951" s="2" t="inlineStr">
        <is>
          <t>INSTALLATIONS</t>
        </is>
      </c>
      <c r="C951" s="2" t="inlineStr">
        <is>
          <t>L</t>
        </is>
      </c>
      <c r="D951" s="2" t="inlineStr">
        <is>
          <t>5B-FCU-GF-01, 7.80 kW Total Cooling Capacity</t>
        </is>
      </c>
      <c r="E951" s="2" t="inlineStr">
        <is>
          <t>Set</t>
        </is>
      </c>
      <c r="F951" s="2" t="n">
        <v>0</v>
      </c>
      <c r="G951" s="2" t="n">
        <v>0</v>
      </c>
      <c r="H951" s="2" t="n">
        <v>0</v>
      </c>
      <c r="I951" s="2" t="n">
        <v>0</v>
      </c>
      <c r="J951" s="2" t="n">
        <v>0</v>
      </c>
      <c r="K951" s="2" t="n">
        <v>0</v>
      </c>
      <c r="L951" s="2" t="n">
        <v>1</v>
      </c>
      <c r="M951" s="2" t="n">
        <v>1</v>
      </c>
      <c r="N951" s="2" t="n">
        <v>0</v>
      </c>
      <c r="O951" s="2" t="n">
        <v>0</v>
      </c>
      <c r="P951" s="2" t="n">
        <v>0</v>
      </c>
      <c r="Q951" s="2" t="n">
        <v>2</v>
      </c>
      <c r="R951" s="2" t="n">
        <v>37</v>
      </c>
      <c r="S951" s="2" t="n"/>
      <c r="T951" s="2">
        <f>IF(OR(S951="",R951=0),"",ROUND(S951*R951,2))</f>
        <v/>
      </c>
      <c r="U951" s="2" t="inlineStr"/>
    </row>
    <row r="952">
      <c r="A952" s="2" t="inlineStr">
        <is>
          <t>Q</t>
        </is>
      </c>
      <c r="B952" s="2" t="inlineStr">
        <is>
          <t>INSTALLATIONS</t>
        </is>
      </c>
      <c r="C952" s="2" t="inlineStr">
        <is>
          <t>L</t>
        </is>
      </c>
      <c r="D952" s="2" t="inlineStr">
        <is>
          <t>Scent Unit</t>
        </is>
      </c>
      <c r="E952" s="2" t="inlineStr">
        <is>
          <t>Set</t>
        </is>
      </c>
      <c r="F952" s="2" t="n">
        <v>0</v>
      </c>
      <c r="G952" s="2" t="n">
        <v>0</v>
      </c>
      <c r="H952" s="2" t="n">
        <v>0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11</v>
      </c>
      <c r="O952" s="2" t="n">
        <v>0</v>
      </c>
      <c r="P952" s="2" t="n">
        <v>0</v>
      </c>
      <c r="Q952" s="2" t="n">
        <v>11</v>
      </c>
      <c r="R952" s="2" t="n">
        <v>11</v>
      </c>
      <c r="S952" s="2" t="n"/>
      <c r="T952" s="2">
        <f>IF(OR(S952="",R952=0),"",ROUND(S952*R952,2))</f>
        <v/>
      </c>
      <c r="U952" s="2" t="inlineStr"/>
    </row>
    <row r="953">
      <c r="A953" s="2" t="inlineStr">
        <is>
          <t>Q</t>
        </is>
      </c>
      <c r="B953" s="2" t="inlineStr">
        <is>
          <t>INSTALLATIONS</t>
        </is>
      </c>
      <c r="C953" s="2" t="inlineStr">
        <is>
          <t>M</t>
        </is>
      </c>
      <c r="D953" s="2" t="inlineStr">
        <is>
          <t>RLSD-03, 2-Slot x 20mm Width, 500mm L</t>
        </is>
      </c>
      <c r="E953" s="2" t="inlineStr">
        <is>
          <t>No</t>
        </is>
      </c>
      <c r="F953" s="2" t="n">
        <v>6</v>
      </c>
      <c r="G953" s="2" t="n">
        <v>6</v>
      </c>
      <c r="H953" s="2" t="n">
        <v>6</v>
      </c>
      <c r="I953" s="2" t="n">
        <v>6</v>
      </c>
      <c r="J953" s="2" t="n">
        <v>6</v>
      </c>
      <c r="K953" s="2" t="n">
        <v>6</v>
      </c>
      <c r="L953" s="2" t="n">
        <v>0</v>
      </c>
      <c r="M953" s="2" t="n">
        <v>0</v>
      </c>
      <c r="N953" s="2" t="n">
        <v>8</v>
      </c>
      <c r="O953" s="2" t="n">
        <v>0</v>
      </c>
      <c r="P953" s="2" t="n">
        <v>0</v>
      </c>
      <c r="Q953" s="2" t="n">
        <v>44</v>
      </c>
      <c r="R953" s="2" t="n">
        <v>560</v>
      </c>
      <c r="S953" s="2" t="n"/>
      <c r="T953" s="2">
        <f>IF(OR(S953="",R953=0),"",ROUND(S953*R953,2))</f>
        <v/>
      </c>
      <c r="U953" s="2" t="inlineStr"/>
    </row>
    <row r="954">
      <c r="A954" s="2" t="inlineStr">
        <is>
          <t>Q</t>
        </is>
      </c>
      <c r="B954" s="2" t="inlineStr">
        <is>
          <t>INSTALLATIONS</t>
        </is>
      </c>
      <c r="C954" s="2" t="inlineStr">
        <is>
          <t>M</t>
        </is>
      </c>
      <c r="D954" s="2" t="inlineStr">
        <is>
          <t>RG-06, 650mm x 150mm</t>
        </is>
      </c>
      <c r="E954" s="2" t="inlineStr">
        <is>
          <t>No</t>
        </is>
      </c>
      <c r="F954" s="2" t="n">
        <v>4</v>
      </c>
      <c r="G954" s="2" t="n">
        <v>4</v>
      </c>
      <c r="H954" s="2" t="n">
        <v>8</v>
      </c>
      <c r="I954" s="2" t="n">
        <v>8</v>
      </c>
      <c r="J954" s="2" t="n">
        <v>12</v>
      </c>
      <c r="K954" s="2" t="n">
        <v>12</v>
      </c>
      <c r="L954" s="2" t="n">
        <v>0</v>
      </c>
      <c r="M954" s="2" t="n">
        <v>0</v>
      </c>
      <c r="N954" s="2" t="n">
        <v>0</v>
      </c>
      <c r="O954" s="2" t="n">
        <v>0</v>
      </c>
      <c r="P954" s="2" t="n">
        <v>0</v>
      </c>
      <c r="Q954" s="2" t="n">
        <v>48</v>
      </c>
      <c r="R954" s="2" t="n">
        <v>652</v>
      </c>
      <c r="S954" s="2" t="n"/>
      <c r="T954" s="2">
        <f>IF(OR(S954="",R954=0),"",ROUND(S954*R954,2))</f>
        <v/>
      </c>
      <c r="U954" s="2" t="inlineStr"/>
    </row>
    <row r="955">
      <c r="A955" s="2" t="inlineStr">
        <is>
          <t>Q</t>
        </is>
      </c>
      <c r="B955" s="2" t="inlineStr">
        <is>
          <t>INSTALLATIONS</t>
        </is>
      </c>
      <c r="C955" s="2" t="inlineStr">
        <is>
          <t>M</t>
        </is>
      </c>
      <c r="D955" s="2" t="inlineStr">
        <is>
          <t>FAL, 300mm x 250mm</t>
        </is>
      </c>
      <c r="E955" s="2" t="inlineStr">
        <is>
          <t>No</t>
        </is>
      </c>
      <c r="F955" s="2" t="n">
        <v>0</v>
      </c>
      <c r="G955" s="2" t="n">
        <v>0</v>
      </c>
      <c r="H955" s="2" t="n">
        <v>0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0</v>
      </c>
      <c r="N955" s="2" t="n">
        <v>3</v>
      </c>
      <c r="O955" s="2" t="n">
        <v>0</v>
      </c>
      <c r="P955" s="2" t="n">
        <v>0</v>
      </c>
      <c r="Q955" s="2" t="n">
        <v>3</v>
      </c>
      <c r="R955" s="2" t="n">
        <v>3</v>
      </c>
      <c r="S955" s="2" t="n"/>
      <c r="T955" s="2">
        <f>IF(OR(S955="",R955=0),"",ROUND(S955*R955,2))</f>
        <v/>
      </c>
      <c r="U955" s="2" t="inlineStr"/>
    </row>
    <row r="956">
      <c r="A956" s="2" t="inlineStr">
        <is>
          <t>Q</t>
        </is>
      </c>
      <c r="B956" s="2" t="inlineStr">
        <is>
          <t>INSTALLATIONS</t>
        </is>
      </c>
      <c r="C956" s="2" t="inlineStr">
        <is>
          <t>M</t>
        </is>
      </c>
      <c r="D956" s="2" t="inlineStr">
        <is>
          <t>VCD, 250mm x 200mm</t>
        </is>
      </c>
      <c r="E956" s="2" t="inlineStr">
        <is>
          <t>No</t>
        </is>
      </c>
      <c r="F956" s="2" t="n">
        <v>0</v>
      </c>
      <c r="G956" s="2" t="n">
        <v>0</v>
      </c>
      <c r="H956" s="2" t="n">
        <v>0</v>
      </c>
      <c r="I956" s="2" t="n">
        <v>0</v>
      </c>
      <c r="J956" s="2" t="n">
        <v>0</v>
      </c>
      <c r="K956" s="2" t="n">
        <v>0</v>
      </c>
      <c r="L956" s="2" t="n">
        <v>1</v>
      </c>
      <c r="M956" s="2" t="n">
        <v>1</v>
      </c>
      <c r="N956" s="2" t="n">
        <v>0</v>
      </c>
      <c r="O956" s="2" t="n">
        <v>0</v>
      </c>
      <c r="P956" s="2" t="n">
        <v>0</v>
      </c>
      <c r="Q956" s="2" t="n">
        <v>2</v>
      </c>
      <c r="R956" s="2" t="n">
        <v>37</v>
      </c>
      <c r="S956" s="2" t="n"/>
      <c r="T956" s="2">
        <f>IF(OR(S956="",R956=0),"",ROUND(S956*R956,2))</f>
        <v/>
      </c>
      <c r="U956" s="2" t="inlineStr"/>
    </row>
    <row r="957">
      <c r="A957" s="2" t="inlineStr">
        <is>
          <t>Q</t>
        </is>
      </c>
      <c r="B957" s="2" t="inlineStr">
        <is>
          <t>INSTALLATIONS</t>
        </is>
      </c>
      <c r="C957" s="2" t="inlineStr">
        <is>
          <t>M</t>
        </is>
      </c>
      <c r="D957" s="2" t="inlineStr">
        <is>
          <t>5B-FCU-GF-02, 10.40 kW Total Cooling Capacity</t>
        </is>
      </c>
      <c r="E957" s="2" t="inlineStr">
        <is>
          <t>Set</t>
        </is>
      </c>
      <c r="F957" s="2" t="n">
        <v>0</v>
      </c>
      <c r="G957" s="2" t="n">
        <v>0</v>
      </c>
      <c r="H957" s="2" t="n">
        <v>0</v>
      </c>
      <c r="I957" s="2" t="n">
        <v>0</v>
      </c>
      <c r="J957" s="2" t="n">
        <v>0</v>
      </c>
      <c r="K957" s="2" t="n">
        <v>0</v>
      </c>
      <c r="L957" s="2" t="n">
        <v>1</v>
      </c>
      <c r="M957" s="2" t="n">
        <v>1</v>
      </c>
      <c r="N957" s="2" t="n">
        <v>0</v>
      </c>
      <c r="O957" s="2" t="n">
        <v>0</v>
      </c>
      <c r="P957" s="2" t="n">
        <v>0</v>
      </c>
      <c r="Q957" s="2" t="n">
        <v>2</v>
      </c>
      <c r="R957" s="2" t="n">
        <v>37</v>
      </c>
      <c r="S957" s="2" t="n"/>
      <c r="T957" s="2">
        <f>IF(OR(S957="",R957=0),"",ROUND(S957*R957,2))</f>
        <v/>
      </c>
      <c r="U957" s="2" t="inlineStr"/>
    </row>
    <row r="958">
      <c r="A958" s="2" t="inlineStr">
        <is>
          <t>Q</t>
        </is>
      </c>
      <c r="B958" s="2" t="inlineStr">
        <is>
          <t>INSTALLATIONS</t>
        </is>
      </c>
      <c r="C958" s="2" t="inlineStr">
        <is>
          <t>N</t>
        </is>
      </c>
      <c r="D958" s="2" t="inlineStr">
        <is>
          <t>RLSD-04, 2-Slot x 20mm Width, 1500mm L</t>
        </is>
      </c>
      <c r="E958" s="2" t="inlineStr">
        <is>
          <t>No</t>
        </is>
      </c>
      <c r="F958" s="2" t="n">
        <v>0</v>
      </c>
      <c r="G958" s="2" t="n">
        <v>0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12</v>
      </c>
      <c r="O958" s="2" t="n">
        <v>0</v>
      </c>
      <c r="P958" s="2" t="n">
        <v>0</v>
      </c>
      <c r="Q958" s="2" t="n">
        <v>12</v>
      </c>
      <c r="R958" s="2" t="n">
        <v>12</v>
      </c>
      <c r="S958" s="2" t="n"/>
      <c r="T958" s="2">
        <f>IF(OR(S958="",R958=0),"",ROUND(S958*R958,2))</f>
        <v/>
      </c>
      <c r="U958" s="2" t="inlineStr"/>
    </row>
    <row r="959">
      <c r="A959" s="2" t="inlineStr">
        <is>
          <t>Q</t>
        </is>
      </c>
      <c r="B959" s="2" t="inlineStr">
        <is>
          <t>INSTALLATIONS</t>
        </is>
      </c>
      <c r="C959" s="2" t="inlineStr">
        <is>
          <t>N</t>
        </is>
      </c>
      <c r="D959" s="2" t="inlineStr">
        <is>
          <t>RG-07, 750mm x 150mm</t>
        </is>
      </c>
      <c r="E959" s="2" t="inlineStr">
        <is>
          <t>No</t>
        </is>
      </c>
      <c r="F959" s="2" t="n">
        <v>2</v>
      </c>
      <c r="G959" s="2" t="n">
        <v>2</v>
      </c>
      <c r="H959" s="2" t="n">
        <v>2</v>
      </c>
      <c r="I959" s="2" t="n">
        <v>2</v>
      </c>
      <c r="J959" s="2" t="n">
        <v>2</v>
      </c>
      <c r="K959" s="2" t="n">
        <v>2</v>
      </c>
      <c r="L959" s="2" t="n">
        <v>0</v>
      </c>
      <c r="M959" s="2" t="n">
        <v>0</v>
      </c>
      <c r="N959" s="2" t="n">
        <v>0</v>
      </c>
      <c r="O959" s="2" t="n">
        <v>0</v>
      </c>
      <c r="P959" s="2" t="n">
        <v>0</v>
      </c>
      <c r="Q959" s="2" t="n">
        <v>12</v>
      </c>
      <c r="R959" s="2" t="n">
        <v>184</v>
      </c>
      <c r="S959" s="2" t="n"/>
      <c r="T959" s="2">
        <f>IF(OR(S959="",R959=0),"",ROUND(S959*R959,2))</f>
        <v/>
      </c>
      <c r="U959" s="2" t="inlineStr"/>
    </row>
    <row r="960">
      <c r="A960" s="2" t="inlineStr">
        <is>
          <t>Q</t>
        </is>
      </c>
      <c r="B960" s="2" t="inlineStr">
        <is>
          <t>INSTALLATIONS</t>
        </is>
      </c>
      <c r="C960" s="2" t="inlineStr">
        <is>
          <t>N</t>
        </is>
      </c>
      <c r="D960" s="2" t="inlineStr">
        <is>
          <t>FAL, 350mm x 200mm</t>
        </is>
      </c>
      <c r="E960" s="2" t="inlineStr">
        <is>
          <t>No</t>
        </is>
      </c>
      <c r="F960" s="2" t="n">
        <v>2</v>
      </c>
      <c r="G960" s="2" t="n">
        <v>2</v>
      </c>
      <c r="H960" s="2" t="n">
        <v>4</v>
      </c>
      <c r="I960" s="2" t="n">
        <v>4</v>
      </c>
      <c r="J960" s="2" t="n">
        <v>6</v>
      </c>
      <c r="K960" s="2" t="n">
        <v>6</v>
      </c>
      <c r="L960" s="2" t="n">
        <v>0</v>
      </c>
      <c r="M960" s="2" t="n">
        <v>0</v>
      </c>
      <c r="N960" s="2" t="n">
        <v>0</v>
      </c>
      <c r="O960" s="2" t="n">
        <v>0</v>
      </c>
      <c r="P960" s="2" t="n">
        <v>0</v>
      </c>
      <c r="Q960" s="2" t="n">
        <v>24</v>
      </c>
      <c r="R960" s="2" t="n">
        <v>326</v>
      </c>
      <c r="S960" s="2" t="n"/>
      <c r="T960" s="2">
        <f>IF(OR(S960="",R960=0),"",ROUND(S960*R960,2))</f>
        <v/>
      </c>
      <c r="U960" s="2" t="inlineStr"/>
    </row>
    <row r="961">
      <c r="A961" s="2" t="inlineStr">
        <is>
          <t>Q</t>
        </is>
      </c>
      <c r="B961" s="2" t="inlineStr">
        <is>
          <t>INSTALLATIONS</t>
        </is>
      </c>
      <c r="C961" s="2" t="inlineStr">
        <is>
          <t>N</t>
        </is>
      </c>
      <c r="D961" s="2" t="inlineStr">
        <is>
          <t>VCD, 300mm x 150mm</t>
        </is>
      </c>
      <c r="E961" s="2" t="inlineStr">
        <is>
          <t>No</t>
        </is>
      </c>
      <c r="F961" s="2" t="n">
        <v>0</v>
      </c>
      <c r="G961" s="2" t="n">
        <v>0</v>
      </c>
      <c r="H961" s="2" t="n">
        <v>0</v>
      </c>
      <c r="I961" s="2" t="n">
        <v>0</v>
      </c>
      <c r="J961" s="2" t="n">
        <v>0</v>
      </c>
      <c r="K961" s="2" t="n">
        <v>0</v>
      </c>
      <c r="L961" s="2" t="n">
        <v>1</v>
      </c>
      <c r="M961" s="2" t="n">
        <v>1</v>
      </c>
      <c r="N961" s="2" t="n">
        <v>0</v>
      </c>
      <c r="O961" s="2" t="n">
        <v>0</v>
      </c>
      <c r="P961" s="2" t="n">
        <v>0</v>
      </c>
      <c r="Q961" s="2" t="n">
        <v>2</v>
      </c>
      <c r="R961" s="2" t="n">
        <v>37</v>
      </c>
      <c r="S961" s="2" t="n"/>
      <c r="T961" s="2">
        <f>IF(OR(S961="",R961=0),"",ROUND(S961*R961,2))</f>
        <v/>
      </c>
      <c r="U961" s="2" t="inlineStr"/>
    </row>
    <row r="962">
      <c r="A962" s="2" t="inlineStr">
        <is>
          <t>Q</t>
        </is>
      </c>
      <c r="B962" s="2" t="inlineStr">
        <is>
          <t>INSTALLATIONS</t>
        </is>
      </c>
      <c r="C962" s="2" t="inlineStr">
        <is>
          <t>N</t>
        </is>
      </c>
      <c r="D962" s="2" t="inlineStr">
        <is>
          <t>5B-FCU-GF-03, 1.30 kW Total Cooling Capacity</t>
        </is>
      </c>
      <c r="E962" s="2" t="inlineStr">
        <is>
          <t>Set</t>
        </is>
      </c>
      <c r="F962" s="2" t="n">
        <v>0</v>
      </c>
      <c r="G962" s="2" t="n">
        <v>0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1</v>
      </c>
      <c r="M962" s="2" t="n">
        <v>1</v>
      </c>
      <c r="N962" s="2" t="n">
        <v>0</v>
      </c>
      <c r="O962" s="2" t="n">
        <v>0</v>
      </c>
      <c r="P962" s="2" t="n">
        <v>0</v>
      </c>
      <c r="Q962" s="2" t="n">
        <v>2</v>
      </c>
      <c r="R962" s="2" t="n">
        <v>37</v>
      </c>
      <c r="S962" s="2" t="n"/>
      <c r="T962" s="2">
        <f>IF(OR(S962="",R962=0),"",ROUND(S962*R962,2))</f>
        <v/>
      </c>
      <c r="U962" s="2" t="inlineStr"/>
    </row>
    <row r="963">
      <c r="A963" s="2" t="inlineStr">
        <is>
          <t>Q</t>
        </is>
      </c>
      <c r="B963" s="2" t="inlineStr">
        <is>
          <t>INSTALLATIONS</t>
        </is>
      </c>
      <c r="C963" s="2" t="inlineStr">
        <is>
          <t>P</t>
        </is>
      </c>
      <c r="D963" s="2" t="inlineStr">
        <is>
          <t>RG-08, 800mm x 150mm</t>
        </is>
      </c>
      <c r="E963" s="2" t="inlineStr">
        <is>
          <t>No</t>
        </is>
      </c>
      <c r="F963" s="2" t="n">
        <v>2</v>
      </c>
      <c r="G963" s="2" t="n">
        <v>2</v>
      </c>
      <c r="H963" s="2" t="n">
        <v>2</v>
      </c>
      <c r="I963" s="2" t="n">
        <v>2</v>
      </c>
      <c r="J963" s="2" t="n">
        <v>2</v>
      </c>
      <c r="K963" s="2" t="n">
        <v>2</v>
      </c>
      <c r="L963" s="2" t="n">
        <v>0</v>
      </c>
      <c r="M963" s="2" t="n">
        <v>0</v>
      </c>
      <c r="N963" s="2" t="n">
        <v>0</v>
      </c>
      <c r="O963" s="2" t="n">
        <v>0</v>
      </c>
      <c r="P963" s="2" t="n">
        <v>0</v>
      </c>
      <c r="Q963" s="2" t="n">
        <v>12</v>
      </c>
      <c r="R963" s="2" t="n">
        <v>184</v>
      </c>
      <c r="S963" s="2" t="n"/>
      <c r="T963" s="2">
        <f>IF(OR(S963="",R963=0),"",ROUND(S963*R963,2))</f>
        <v/>
      </c>
      <c r="U963" s="2" t="inlineStr"/>
    </row>
    <row r="964">
      <c r="A964" s="2" t="inlineStr">
        <is>
          <t>Q</t>
        </is>
      </c>
      <c r="B964" s="2" t="inlineStr">
        <is>
          <t>INSTALLATIONS</t>
        </is>
      </c>
      <c r="C964" s="2" t="inlineStr">
        <is>
          <t>P</t>
        </is>
      </c>
      <c r="D964" s="2" t="inlineStr">
        <is>
          <t>FAL, 350mm x 350mm</t>
        </is>
      </c>
      <c r="E964" s="2" t="inlineStr">
        <is>
          <t>No</t>
        </is>
      </c>
      <c r="F964" s="2" t="n">
        <v>2</v>
      </c>
      <c r="G964" s="2" t="n">
        <v>2</v>
      </c>
      <c r="H964" s="2" t="n">
        <v>2</v>
      </c>
      <c r="I964" s="2" t="n">
        <v>2</v>
      </c>
      <c r="J964" s="2" t="n">
        <v>2</v>
      </c>
      <c r="K964" s="2" t="n">
        <v>2</v>
      </c>
      <c r="L964" s="2" t="n">
        <v>0</v>
      </c>
      <c r="M964" s="2" t="n">
        <v>0</v>
      </c>
      <c r="N964" s="2" t="n">
        <v>0</v>
      </c>
      <c r="O964" s="2" t="n">
        <v>0</v>
      </c>
      <c r="P964" s="2" t="n">
        <v>0</v>
      </c>
      <c r="Q964" s="2" t="n">
        <v>12</v>
      </c>
      <c r="R964" s="2" t="n">
        <v>184</v>
      </c>
      <c r="S964" s="2" t="n"/>
      <c r="T964" s="2">
        <f>IF(OR(S964="",R964=0),"",ROUND(S964*R964,2))</f>
        <v/>
      </c>
      <c r="U964" s="2" t="inlineStr"/>
    </row>
    <row r="965">
      <c r="A965" s="2" t="inlineStr">
        <is>
          <t>Q</t>
        </is>
      </c>
      <c r="B965" s="2" t="inlineStr">
        <is>
          <t>INSTALLATIONS</t>
        </is>
      </c>
      <c r="C965" s="2" t="inlineStr">
        <is>
          <t>P</t>
        </is>
      </c>
      <c r="D965" s="2" t="inlineStr">
        <is>
          <t>VCD, 300mm x 250mm</t>
        </is>
      </c>
      <c r="E965" s="2" t="inlineStr">
        <is>
          <t>No</t>
        </is>
      </c>
      <c r="F965" s="2" t="n">
        <v>0</v>
      </c>
      <c r="G965" s="2" t="n">
        <v>0</v>
      </c>
      <c r="H965" s="2" t="n">
        <v>0</v>
      </c>
      <c r="I965" s="2" t="n">
        <v>0</v>
      </c>
      <c r="J965" s="2" t="n">
        <v>0</v>
      </c>
      <c r="K965" s="2" t="n">
        <v>0</v>
      </c>
      <c r="L965" s="2" t="n">
        <v>0</v>
      </c>
      <c r="M965" s="2" t="n">
        <v>0</v>
      </c>
      <c r="N965" s="2" t="n">
        <v>2</v>
      </c>
      <c r="O965" s="2" t="n">
        <v>0</v>
      </c>
      <c r="P965" s="2" t="n">
        <v>0</v>
      </c>
      <c r="Q965" s="2" t="n">
        <v>2</v>
      </c>
      <c r="R965" s="2" t="n">
        <v>2</v>
      </c>
      <c r="S965" s="2" t="n"/>
      <c r="T965" s="2">
        <f>IF(OR(S965="",R965=0),"",ROUND(S965*R965,2))</f>
        <v/>
      </c>
      <c r="U965" s="2" t="inlineStr"/>
    </row>
    <row r="966">
      <c r="A966" s="2" t="inlineStr">
        <is>
          <t>Q</t>
        </is>
      </c>
      <c r="B966" s="2" t="inlineStr">
        <is>
          <t>INSTALLATIONS</t>
        </is>
      </c>
      <c r="C966" s="2" t="inlineStr">
        <is>
          <t>P</t>
        </is>
      </c>
      <c r="D966" s="2" t="inlineStr">
        <is>
          <t>5B-FCU-GF-04, 3.70 kW Total Cooling Capacity</t>
        </is>
      </c>
      <c r="E966" s="2" t="inlineStr">
        <is>
          <t>Set</t>
        </is>
      </c>
      <c r="F966" s="2" t="n">
        <v>0</v>
      </c>
      <c r="G966" s="2" t="n">
        <v>0</v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1</v>
      </c>
      <c r="M966" s="2" t="n">
        <v>1</v>
      </c>
      <c r="N966" s="2" t="n">
        <v>0</v>
      </c>
      <c r="O966" s="2" t="n">
        <v>0</v>
      </c>
      <c r="P966" s="2" t="n">
        <v>0</v>
      </c>
      <c r="Q966" s="2" t="n">
        <v>2</v>
      </c>
      <c r="R966" s="2" t="n">
        <v>37</v>
      </c>
      <c r="S966" s="2" t="n"/>
      <c r="T966" s="2">
        <f>IF(OR(S966="",R966=0),"",ROUND(S966*R966,2))</f>
        <v/>
      </c>
      <c r="U966" s="2" t="inlineStr"/>
    </row>
    <row r="967">
      <c r="A967" s="2" t="inlineStr">
        <is>
          <t>Q</t>
        </is>
      </c>
      <c r="B967" s="2" t="inlineStr">
        <is>
          <t>INSTALLATIONS</t>
        </is>
      </c>
      <c r="C967" s="2" t="inlineStr">
        <is>
          <t>Q</t>
        </is>
      </c>
      <c r="D967" s="2" t="inlineStr">
        <is>
          <t>RG-09, 950mm x 150mm</t>
        </is>
      </c>
      <c r="E967" s="2" t="inlineStr">
        <is>
          <t>No</t>
        </is>
      </c>
      <c r="F967" s="2" t="n">
        <v>0</v>
      </c>
      <c r="G967" s="2" t="n">
        <v>0</v>
      </c>
      <c r="H967" s="2" t="n">
        <v>0</v>
      </c>
      <c r="I967" s="2" t="n">
        <v>0</v>
      </c>
      <c r="J967" s="2" t="n">
        <v>0</v>
      </c>
      <c r="K967" s="2" t="n">
        <v>0</v>
      </c>
      <c r="L967" s="2" t="n">
        <v>1</v>
      </c>
      <c r="M967" s="2" t="n">
        <v>1</v>
      </c>
      <c r="N967" s="2" t="n">
        <v>0</v>
      </c>
      <c r="O967" s="2" t="n">
        <v>0</v>
      </c>
      <c r="P967" s="2" t="n">
        <v>0</v>
      </c>
      <c r="Q967" s="2" t="n">
        <v>2</v>
      </c>
      <c r="R967" s="2" t="n">
        <v>37</v>
      </c>
      <c r="S967" s="2" t="n"/>
      <c r="T967" s="2">
        <f>IF(OR(S967="",R967=0),"",ROUND(S967*R967,2))</f>
        <v/>
      </c>
      <c r="U967" s="2" t="inlineStr"/>
    </row>
    <row r="968">
      <c r="A968" s="2" t="inlineStr">
        <is>
          <t>Q</t>
        </is>
      </c>
      <c r="B968" s="2" t="inlineStr">
        <is>
          <t>INSTALLATIONS</t>
        </is>
      </c>
      <c r="C968" s="2" t="inlineStr">
        <is>
          <t>Q</t>
        </is>
      </c>
      <c r="D968" s="2" t="inlineStr">
        <is>
          <t>FAL, 400mm x 250mm</t>
        </is>
      </c>
      <c r="E968" s="2" t="inlineStr">
        <is>
          <t>No</t>
        </is>
      </c>
      <c r="F968" s="2" t="n">
        <v>0</v>
      </c>
      <c r="G968" s="2" t="n">
        <v>0</v>
      </c>
      <c r="H968" s="2" t="n">
        <v>0</v>
      </c>
      <c r="I968" s="2" t="n">
        <v>0</v>
      </c>
      <c r="J968" s="2" t="n">
        <v>0</v>
      </c>
      <c r="K968" s="2" t="n">
        <v>0</v>
      </c>
      <c r="L968" s="2" t="n">
        <v>1</v>
      </c>
      <c r="M968" s="2" t="n">
        <v>1</v>
      </c>
      <c r="N968" s="2" t="n">
        <v>0</v>
      </c>
      <c r="O968" s="2" t="n">
        <v>0</v>
      </c>
      <c r="P968" s="2" t="n">
        <v>0</v>
      </c>
      <c r="Q968" s="2" t="n">
        <v>2</v>
      </c>
      <c r="R968" s="2" t="n">
        <v>37</v>
      </c>
      <c r="S968" s="2" t="n"/>
      <c r="T968" s="2">
        <f>IF(OR(S968="",R968=0),"",ROUND(S968*R968,2))</f>
        <v/>
      </c>
      <c r="U968" s="2" t="inlineStr"/>
    </row>
    <row r="969">
      <c r="A969" s="2" t="inlineStr">
        <is>
          <t>Q</t>
        </is>
      </c>
      <c r="B969" s="2" t="inlineStr">
        <is>
          <t>INSTALLATIONS</t>
        </is>
      </c>
      <c r="C969" s="2" t="inlineStr">
        <is>
          <t>Q</t>
        </is>
      </c>
      <c r="D969" s="2" t="inlineStr">
        <is>
          <t>VCD, 350mm x 150mm</t>
        </is>
      </c>
      <c r="E969" s="2" t="inlineStr">
        <is>
          <t>No</t>
        </is>
      </c>
      <c r="F969" s="2" t="n">
        <v>0</v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1</v>
      </c>
      <c r="M969" s="2" t="n">
        <v>1</v>
      </c>
      <c r="N969" s="2" t="n">
        <v>0</v>
      </c>
      <c r="O969" s="2" t="n">
        <v>0</v>
      </c>
      <c r="P969" s="2" t="n">
        <v>0</v>
      </c>
      <c r="Q969" s="2" t="n">
        <v>2</v>
      </c>
      <c r="R969" s="2" t="n">
        <v>37</v>
      </c>
      <c r="S969" s="2" t="n"/>
      <c r="T969" s="2">
        <f>IF(OR(S969="",R969=0),"",ROUND(S969*R969,2))</f>
        <v/>
      </c>
      <c r="U969" s="2" t="inlineStr"/>
    </row>
    <row r="970">
      <c r="A970" s="2" t="inlineStr">
        <is>
          <t>Q</t>
        </is>
      </c>
      <c r="B970" s="2" t="inlineStr">
        <is>
          <t>INSTALLATIONS</t>
        </is>
      </c>
      <c r="C970" s="2" t="inlineStr">
        <is>
          <t>Q</t>
        </is>
      </c>
      <c r="D970" s="2" t="inlineStr">
        <is>
          <t>5B-FCU-FF-01, 6.00 kW Total Cooling Capacity</t>
        </is>
      </c>
      <c r="E970" s="2" t="inlineStr">
        <is>
          <t>Set</t>
        </is>
      </c>
      <c r="F970" s="2" t="n">
        <v>0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1</v>
      </c>
      <c r="M970" s="2" t="n">
        <v>1</v>
      </c>
      <c r="N970" s="2" t="n">
        <v>0</v>
      </c>
      <c r="O970" s="2" t="n">
        <v>0</v>
      </c>
      <c r="P970" s="2" t="n">
        <v>0</v>
      </c>
      <c r="Q970" s="2" t="n">
        <v>2</v>
      </c>
      <c r="R970" s="2" t="n">
        <v>37</v>
      </c>
      <c r="S970" s="2" t="n"/>
      <c r="T970" s="2">
        <f>IF(OR(S970="",R970=0),"",ROUND(S970*R970,2))</f>
        <v/>
      </c>
      <c r="U970" s="2" t="inlineStr"/>
    </row>
    <row r="971">
      <c r="A971" s="2" t="inlineStr">
        <is>
          <t>Q</t>
        </is>
      </c>
      <c r="B971" s="2" t="inlineStr">
        <is>
          <t>INSTALLATIONS</t>
        </is>
      </c>
      <c r="C971" s="2" t="inlineStr">
        <is>
          <t>R</t>
        </is>
      </c>
      <c r="D971" s="2" t="inlineStr">
        <is>
          <t>RG-10, 1000mm x 150mm</t>
        </is>
      </c>
      <c r="E971" s="2" t="inlineStr">
        <is>
          <t>No</t>
        </is>
      </c>
      <c r="F971" s="2" t="n">
        <v>0</v>
      </c>
      <c r="G971" s="2" t="n">
        <v>0</v>
      </c>
      <c r="H971" s="2" t="n">
        <v>0</v>
      </c>
      <c r="I971" s="2" t="n">
        <v>0</v>
      </c>
      <c r="J971" s="2" t="n">
        <v>0</v>
      </c>
      <c r="K971" s="2" t="n">
        <v>0</v>
      </c>
      <c r="L971" s="2" t="n">
        <v>1</v>
      </c>
      <c r="M971" s="2" t="n">
        <v>1</v>
      </c>
      <c r="N971" s="2" t="n">
        <v>0</v>
      </c>
      <c r="O971" s="2" t="n">
        <v>0</v>
      </c>
      <c r="P971" s="2" t="n">
        <v>0</v>
      </c>
      <c r="Q971" s="2" t="n">
        <v>2</v>
      </c>
      <c r="R971" s="2" t="n">
        <v>37</v>
      </c>
      <c r="S971" s="2" t="n"/>
      <c r="T971" s="2">
        <f>IF(OR(S971="",R971=0),"",ROUND(S971*R971,2))</f>
        <v/>
      </c>
      <c r="U971" s="2" t="inlineStr"/>
    </row>
    <row r="972">
      <c r="A972" s="2" t="inlineStr">
        <is>
          <t>Q</t>
        </is>
      </c>
      <c r="B972" s="2" t="inlineStr">
        <is>
          <t>INSTALLATIONS</t>
        </is>
      </c>
      <c r="C972" s="2" t="inlineStr">
        <is>
          <t>R</t>
        </is>
      </c>
      <c r="D972" s="2" t="inlineStr">
        <is>
          <t>FAL, 450mm x 250mm</t>
        </is>
      </c>
      <c r="E972" s="2" t="inlineStr">
        <is>
          <t>No</t>
        </is>
      </c>
      <c r="F972" s="2" t="n">
        <v>0</v>
      </c>
      <c r="G972" s="2" t="n">
        <v>0</v>
      </c>
      <c r="H972" s="2" t="n">
        <v>0</v>
      </c>
      <c r="I972" s="2" t="n">
        <v>0</v>
      </c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1</v>
      </c>
      <c r="O972" s="2" t="n">
        <v>0</v>
      </c>
      <c r="P972" s="2" t="n">
        <v>0</v>
      </c>
      <c r="Q972" s="2" t="n">
        <v>1</v>
      </c>
      <c r="R972" s="2" t="n">
        <v>1</v>
      </c>
      <c r="S972" s="2" t="n"/>
      <c r="T972" s="2">
        <f>IF(OR(S972="",R972=0),"",ROUND(S972*R972,2))</f>
        <v/>
      </c>
      <c r="U972" s="2" t="inlineStr"/>
    </row>
    <row r="973">
      <c r="A973" s="2" t="inlineStr">
        <is>
          <t>Q</t>
        </is>
      </c>
      <c r="B973" s="2" t="inlineStr">
        <is>
          <t>INSTALLATIONS</t>
        </is>
      </c>
      <c r="C973" s="2" t="inlineStr">
        <is>
          <t>R</t>
        </is>
      </c>
      <c r="D973" s="2" t="inlineStr">
        <is>
          <t>VCD, 350mm x 200mm</t>
        </is>
      </c>
      <c r="E973" s="2" t="inlineStr">
        <is>
          <t>No</t>
        </is>
      </c>
      <c r="F973" s="2" t="n">
        <v>6</v>
      </c>
      <c r="G973" s="2" t="n">
        <v>6</v>
      </c>
      <c r="H973" s="2" t="n">
        <v>10</v>
      </c>
      <c r="I973" s="2" t="n">
        <v>10</v>
      </c>
      <c r="J973" s="2" t="n">
        <v>14</v>
      </c>
      <c r="K973" s="2" t="n">
        <v>14</v>
      </c>
      <c r="L973" s="2" t="n">
        <v>0</v>
      </c>
      <c r="M973" s="2" t="n">
        <v>0</v>
      </c>
      <c r="N973" s="2" t="n">
        <v>0</v>
      </c>
      <c r="O973" s="2" t="n">
        <v>0</v>
      </c>
      <c r="P973" s="2" t="n">
        <v>0</v>
      </c>
      <c r="Q973" s="2" t="n">
        <v>60</v>
      </c>
      <c r="R973" s="2" t="n">
        <v>836</v>
      </c>
      <c r="S973" s="2" t="n"/>
      <c r="T973" s="2">
        <f>IF(OR(S973="",R973=0),"",ROUND(S973*R973,2))</f>
        <v/>
      </c>
      <c r="U973" s="2" t="inlineStr"/>
    </row>
    <row r="974">
      <c r="A974" s="2" t="inlineStr">
        <is>
          <t>Q</t>
        </is>
      </c>
      <c r="B974" s="2" t="inlineStr">
        <is>
          <t>INSTALLATIONS</t>
        </is>
      </c>
      <c r="C974" s="2" t="inlineStr">
        <is>
          <t>R</t>
        </is>
      </c>
      <c r="D974" s="2" t="inlineStr">
        <is>
          <t>5B-FCU-FF-02, 4.20 kW Total Cooling Capacity</t>
        </is>
      </c>
      <c r="E974" s="2" t="inlineStr">
        <is>
          <t>Set</t>
        </is>
      </c>
      <c r="F974" s="2" t="n">
        <v>0</v>
      </c>
      <c r="G974" s="2" t="n">
        <v>0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1</v>
      </c>
      <c r="M974" s="2" t="n">
        <v>1</v>
      </c>
      <c r="N974" s="2" t="n">
        <v>0</v>
      </c>
      <c r="O974" s="2" t="n">
        <v>0</v>
      </c>
      <c r="P974" s="2" t="n">
        <v>0</v>
      </c>
      <c r="Q974" s="2" t="n">
        <v>2</v>
      </c>
      <c r="R974" s="2" t="n">
        <v>37</v>
      </c>
      <c r="S974" s="2" t="n"/>
      <c r="T974" s="2">
        <f>IF(OR(S974="",R974=0),"",ROUND(S974*R974,2))</f>
        <v/>
      </c>
      <c r="U974" s="2" t="inlineStr"/>
    </row>
    <row r="975">
      <c r="A975" s="2" t="inlineStr">
        <is>
          <t>Q</t>
        </is>
      </c>
      <c r="B975" s="2" t="inlineStr">
        <is>
          <t>INSTALLATIONS</t>
        </is>
      </c>
      <c r="C975" s="2" t="inlineStr">
        <is>
          <t>S</t>
        </is>
      </c>
      <c r="D975" s="2" t="inlineStr">
        <is>
          <t>RG-11, 1050mm x 150mm</t>
        </is>
      </c>
      <c r="E975" s="2" t="inlineStr">
        <is>
          <t>No</t>
        </is>
      </c>
      <c r="F975" s="2" t="n">
        <v>0</v>
      </c>
      <c r="G975" s="2" t="n">
        <v>0</v>
      </c>
      <c r="H975" s="2" t="n">
        <v>0</v>
      </c>
      <c r="I975" s="2" t="n">
        <v>0</v>
      </c>
      <c r="J975" s="2" t="n">
        <v>0</v>
      </c>
      <c r="K975" s="2" t="n">
        <v>0</v>
      </c>
      <c r="L975" s="2" t="n">
        <v>1</v>
      </c>
      <c r="M975" s="2" t="n">
        <v>1</v>
      </c>
      <c r="N975" s="2" t="n">
        <v>0</v>
      </c>
      <c r="O975" s="2" t="n">
        <v>0</v>
      </c>
      <c r="P975" s="2" t="n">
        <v>0</v>
      </c>
      <c r="Q975" s="2" t="n">
        <v>2</v>
      </c>
      <c r="R975" s="2" t="n">
        <v>37</v>
      </c>
      <c r="S975" s="2" t="n"/>
      <c r="T975" s="2">
        <f>IF(OR(S975="",R975=0),"",ROUND(S975*R975,2))</f>
        <v/>
      </c>
      <c r="U975" s="2" t="inlineStr"/>
    </row>
    <row r="976">
      <c r="A976" s="2" t="inlineStr">
        <is>
          <t>Q</t>
        </is>
      </c>
      <c r="B976" s="2" t="inlineStr">
        <is>
          <t>INSTALLATIONS</t>
        </is>
      </c>
      <c r="C976" s="2" t="inlineStr">
        <is>
          <t>S</t>
        </is>
      </c>
      <c r="D976" s="2" t="inlineStr">
        <is>
          <t>FAL, 500mm x 300mm</t>
        </is>
      </c>
      <c r="E976" s="2" t="inlineStr">
        <is>
          <t>No</t>
        </is>
      </c>
      <c r="F976" s="2" t="n">
        <v>0</v>
      </c>
      <c r="G976" s="2" t="n">
        <v>0</v>
      </c>
      <c r="H976" s="2" t="n">
        <v>0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1</v>
      </c>
      <c r="O976" s="2" t="n">
        <v>0</v>
      </c>
      <c r="P976" s="2" t="n">
        <v>0</v>
      </c>
      <c r="Q976" s="2" t="n">
        <v>1</v>
      </c>
      <c r="R976" s="2" t="n">
        <v>1</v>
      </c>
      <c r="S976" s="2" t="n"/>
      <c r="T976" s="2">
        <f>IF(OR(S976="",R976=0),"",ROUND(S976*R976,2))</f>
        <v/>
      </c>
      <c r="U976" s="2" t="inlineStr"/>
    </row>
    <row r="977">
      <c r="A977" s="2" t="inlineStr">
        <is>
          <t>Q</t>
        </is>
      </c>
      <c r="B977" s="2" t="inlineStr">
        <is>
          <t>INSTALLATIONS</t>
        </is>
      </c>
      <c r="C977" s="2" t="inlineStr">
        <is>
          <t>S</t>
        </is>
      </c>
      <c r="D977" s="2" t="inlineStr">
        <is>
          <t>VCD, 350mm x 250mm</t>
        </is>
      </c>
      <c r="E977" s="2" t="inlineStr">
        <is>
          <t>No</t>
        </is>
      </c>
      <c r="F977" s="2" t="n">
        <v>0</v>
      </c>
      <c r="G977" s="2" t="n">
        <v>0</v>
      </c>
      <c r="H977" s="2" t="n">
        <v>0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1</v>
      </c>
      <c r="O977" s="2" t="n">
        <v>0</v>
      </c>
      <c r="P977" s="2" t="n">
        <v>0</v>
      </c>
      <c r="Q977" s="2" t="n">
        <v>1</v>
      </c>
      <c r="R977" s="2" t="n">
        <v>1</v>
      </c>
      <c r="S977" s="2" t="n"/>
      <c r="T977" s="2">
        <f>IF(OR(S977="",R977=0),"",ROUND(S977*R977,2))</f>
        <v/>
      </c>
      <c r="U977" s="2" t="inlineStr"/>
    </row>
    <row r="978">
      <c r="A978" s="2" t="inlineStr">
        <is>
          <t>Q</t>
        </is>
      </c>
      <c r="B978" s="2" t="inlineStr">
        <is>
          <t>INSTALLATIONS</t>
        </is>
      </c>
      <c r="C978" s="2" t="inlineStr">
        <is>
          <t>S</t>
        </is>
      </c>
      <c r="D978" s="2" t="inlineStr">
        <is>
          <t>5B-FCU-FF-03, 6.00 kW Total Cooling Capacity</t>
        </is>
      </c>
      <c r="E978" s="2" t="inlineStr">
        <is>
          <t>Set</t>
        </is>
      </c>
      <c r="F978" s="2" t="n">
        <v>0</v>
      </c>
      <c r="G978" s="2" t="n">
        <v>0</v>
      </c>
      <c r="H978" s="2" t="n">
        <v>0</v>
      </c>
      <c r="I978" s="2" t="n">
        <v>0</v>
      </c>
      <c r="J978" s="2" t="n">
        <v>0</v>
      </c>
      <c r="K978" s="2" t="n">
        <v>0</v>
      </c>
      <c r="L978" s="2" t="n">
        <v>1</v>
      </c>
      <c r="M978" s="2" t="n">
        <v>1</v>
      </c>
      <c r="N978" s="2" t="n">
        <v>0</v>
      </c>
      <c r="O978" s="2" t="n">
        <v>0</v>
      </c>
      <c r="P978" s="2" t="n">
        <v>0</v>
      </c>
      <c r="Q978" s="2" t="n">
        <v>2</v>
      </c>
      <c r="R978" s="2" t="n">
        <v>37</v>
      </c>
      <c r="S978" s="2" t="n"/>
      <c r="T978" s="2">
        <f>IF(OR(S978="",R978=0),"",ROUND(S978*R978,2))</f>
        <v/>
      </c>
      <c r="U978" s="2" t="inlineStr"/>
    </row>
    <row r="979">
      <c r="A979" s="2" t="inlineStr">
        <is>
          <t>Q</t>
        </is>
      </c>
      <c r="B979" s="2" t="inlineStr">
        <is>
          <t>INSTALLATIONS</t>
        </is>
      </c>
      <c r="C979" s="2" t="inlineStr">
        <is>
          <t>T</t>
        </is>
      </c>
      <c r="D979" s="2" t="inlineStr">
        <is>
          <t>RG-12, 1150mm x 150mm</t>
        </is>
      </c>
      <c r="E979" s="2" t="inlineStr">
        <is>
          <t>No</t>
        </is>
      </c>
      <c r="F979" s="2" t="n">
        <v>0</v>
      </c>
      <c r="G979" s="2" t="n">
        <v>0</v>
      </c>
      <c r="H979" s="2" t="n">
        <v>0</v>
      </c>
      <c r="I979" s="2" t="n">
        <v>0</v>
      </c>
      <c r="J979" s="2" t="n">
        <v>0</v>
      </c>
      <c r="K979" s="2" t="n">
        <v>0</v>
      </c>
      <c r="L979" s="2" t="n">
        <v>1</v>
      </c>
      <c r="M979" s="2" t="n">
        <v>1</v>
      </c>
      <c r="N979" s="2" t="n">
        <v>0</v>
      </c>
      <c r="O979" s="2" t="n">
        <v>0</v>
      </c>
      <c r="P979" s="2" t="n">
        <v>0</v>
      </c>
      <c r="Q979" s="2" t="n">
        <v>2</v>
      </c>
      <c r="R979" s="2" t="n">
        <v>37</v>
      </c>
      <c r="S979" s="2" t="n"/>
      <c r="T979" s="2">
        <f>IF(OR(S979="",R979=0),"",ROUND(S979*R979,2))</f>
        <v/>
      </c>
      <c r="U979" s="2" t="inlineStr"/>
    </row>
    <row r="980">
      <c r="A980" s="2" t="inlineStr">
        <is>
          <t>Q</t>
        </is>
      </c>
      <c r="B980" s="2" t="inlineStr">
        <is>
          <t>INSTALLATIONS</t>
        </is>
      </c>
      <c r="C980" s="2" t="inlineStr">
        <is>
          <t>T</t>
        </is>
      </c>
      <c r="D980" s="2" t="inlineStr">
        <is>
          <t>EAL, 350mm x 300mm</t>
        </is>
      </c>
      <c r="E980" s="2" t="inlineStr">
        <is>
          <t>No</t>
        </is>
      </c>
      <c r="F980" s="2" t="n">
        <v>0</v>
      </c>
      <c r="G980" s="2" t="n">
        <v>0</v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2</v>
      </c>
      <c r="O980" s="2" t="n">
        <v>0</v>
      </c>
      <c r="P980" s="2" t="n">
        <v>0</v>
      </c>
      <c r="Q980" s="2" t="n">
        <v>2</v>
      </c>
      <c r="R980" s="2" t="n">
        <v>2</v>
      </c>
      <c r="S980" s="2" t="n"/>
      <c r="T980" s="2">
        <f>IF(OR(S980="",R980=0),"",ROUND(S980*R980,2))</f>
        <v/>
      </c>
      <c r="U980" s="2" t="inlineStr"/>
    </row>
    <row r="981">
      <c r="A981" s="2" t="inlineStr">
        <is>
          <t>Q</t>
        </is>
      </c>
      <c r="B981" s="2" t="inlineStr">
        <is>
          <t>INSTALLATIONS</t>
        </is>
      </c>
      <c r="C981" s="2" t="inlineStr">
        <is>
          <t>T</t>
        </is>
      </c>
      <c r="D981" s="2" t="inlineStr">
        <is>
          <t>VCD, 400mm x 200mm</t>
        </is>
      </c>
      <c r="E981" s="2" t="inlineStr">
        <is>
          <t>No</t>
        </is>
      </c>
      <c r="F981" s="2" t="n">
        <v>2</v>
      </c>
      <c r="G981" s="2" t="n">
        <v>2</v>
      </c>
      <c r="H981" s="2" t="n">
        <v>2</v>
      </c>
      <c r="I981" s="2" t="n">
        <v>2</v>
      </c>
      <c r="J981" s="2" t="n">
        <v>2</v>
      </c>
      <c r="K981" s="2" t="n">
        <v>2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0</v>
      </c>
      <c r="Q981" s="2" t="n">
        <v>12</v>
      </c>
      <c r="R981" s="2" t="n">
        <v>184</v>
      </c>
      <c r="S981" s="2" t="n"/>
      <c r="T981" s="2">
        <f>IF(OR(S981="",R981=0),"",ROUND(S981*R981,2))</f>
        <v/>
      </c>
      <c r="U981" s="2" t="inlineStr"/>
    </row>
    <row r="982">
      <c r="A982" s="2" t="inlineStr">
        <is>
          <t>Q</t>
        </is>
      </c>
      <c r="B982" s="2" t="inlineStr">
        <is>
          <t>INSTALLATIONS</t>
        </is>
      </c>
      <c r="C982" s="2" t="inlineStr">
        <is>
          <t>T</t>
        </is>
      </c>
      <c r="D982" s="2" t="inlineStr">
        <is>
          <t>5B-FCU-SF-01, 9.20 kW Total Cooling Capacity</t>
        </is>
      </c>
      <c r="E982" s="2" t="inlineStr">
        <is>
          <t>Set</t>
        </is>
      </c>
      <c r="F982" s="2" t="n">
        <v>0</v>
      </c>
      <c r="G982" s="2" t="n">
        <v>0</v>
      </c>
      <c r="H982" s="2" t="n">
        <v>0</v>
      </c>
      <c r="I982" s="2" t="n">
        <v>0</v>
      </c>
      <c r="J982" s="2" t="n">
        <v>0</v>
      </c>
      <c r="K982" s="2" t="n">
        <v>0</v>
      </c>
      <c r="L982" s="2" t="n">
        <v>1</v>
      </c>
      <c r="M982" s="2" t="n">
        <v>1</v>
      </c>
      <c r="N982" s="2" t="n">
        <v>0</v>
      </c>
      <c r="O982" s="2" t="n">
        <v>0</v>
      </c>
      <c r="P982" s="2" t="n">
        <v>0</v>
      </c>
      <c r="Q982" s="2" t="n">
        <v>2</v>
      </c>
      <c r="R982" s="2" t="n">
        <v>37</v>
      </c>
      <c r="S982" s="2" t="n"/>
      <c r="T982" s="2">
        <f>IF(OR(S982="",R982=0),"",ROUND(S982*R982,2))</f>
        <v/>
      </c>
      <c r="U982" s="2" t="inlineStr"/>
    </row>
    <row r="983">
      <c r="A983" s="2" t="inlineStr">
        <is>
          <t>Q</t>
        </is>
      </c>
      <c r="B983" s="2" t="inlineStr">
        <is>
          <t>INSTALLATIONS</t>
        </is>
      </c>
      <c r="C983" s="2" t="inlineStr">
        <is>
          <t>U</t>
        </is>
      </c>
      <c r="D983" s="2" t="inlineStr">
        <is>
          <t>Dummy Grille, 2000mm x 100mm</t>
        </is>
      </c>
      <c r="E983" s="2" t="inlineStr">
        <is>
          <t>No</t>
        </is>
      </c>
      <c r="F983" s="2" t="n">
        <v>4</v>
      </c>
      <c r="G983" s="2" t="n">
        <v>4</v>
      </c>
      <c r="H983" s="2" t="n">
        <v>4</v>
      </c>
      <c r="I983" s="2" t="n">
        <v>4</v>
      </c>
      <c r="J983" s="2" t="n">
        <v>4</v>
      </c>
      <c r="K983" s="2" t="n">
        <v>4</v>
      </c>
      <c r="L983" s="2" t="n">
        <v>0</v>
      </c>
      <c r="M983" s="2" t="n">
        <v>0</v>
      </c>
      <c r="N983" s="2" t="n">
        <v>0</v>
      </c>
      <c r="O983" s="2" t="n">
        <v>0</v>
      </c>
      <c r="P983" s="2" t="n">
        <v>0</v>
      </c>
      <c r="Q983" s="2" t="n">
        <v>24</v>
      </c>
      <c r="R983" s="2" t="n">
        <v>368</v>
      </c>
      <c r="S983" s="2" t="n"/>
      <c r="T983" s="2">
        <f>IF(OR(S983="",R983=0),"",ROUND(S983*R983,2))</f>
        <v/>
      </c>
      <c r="U983" s="2" t="inlineStr"/>
    </row>
    <row r="984">
      <c r="A984" s="2" t="inlineStr">
        <is>
          <t>Q</t>
        </is>
      </c>
      <c r="B984" s="2" t="inlineStr">
        <is>
          <t>INSTALLATIONS</t>
        </is>
      </c>
      <c r="C984" s="2" t="inlineStr">
        <is>
          <t>U</t>
        </is>
      </c>
      <c r="D984" s="2" t="inlineStr">
        <is>
          <t>EAL, 400mm x 150mm</t>
        </is>
      </c>
      <c r="E984" s="2" t="inlineStr">
        <is>
          <t>No</t>
        </is>
      </c>
      <c r="F984" s="2" t="n">
        <v>0</v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2</v>
      </c>
      <c r="O984" s="2" t="n">
        <v>0</v>
      </c>
      <c r="P984" s="2" t="n">
        <v>0</v>
      </c>
      <c r="Q984" s="2" t="n">
        <v>2</v>
      </c>
      <c r="R984" s="2" t="n">
        <v>2</v>
      </c>
      <c r="S984" s="2" t="n"/>
      <c r="T984" s="2">
        <f>IF(OR(S984="",R984=0),"",ROUND(S984*R984,2))</f>
        <v/>
      </c>
      <c r="U984" s="2" t="inlineStr"/>
    </row>
    <row r="985">
      <c r="A985" s="2" t="inlineStr">
        <is>
          <t>Q</t>
        </is>
      </c>
      <c r="B985" s="2" t="inlineStr">
        <is>
          <t>INSTALLATIONS</t>
        </is>
      </c>
      <c r="C985" s="2" t="inlineStr">
        <is>
          <t>U</t>
        </is>
      </c>
      <c r="D985" s="2" t="inlineStr">
        <is>
          <t>VCD, 400mm x 250mm</t>
        </is>
      </c>
      <c r="E985" s="2" t="inlineStr">
        <is>
          <t>No</t>
        </is>
      </c>
      <c r="F985" s="2" t="n">
        <v>0</v>
      </c>
      <c r="G985" s="2" t="n">
        <v>0</v>
      </c>
      <c r="H985" s="2" t="n">
        <v>0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1</v>
      </c>
      <c r="O985" s="2" t="n">
        <v>0</v>
      </c>
      <c r="P985" s="2" t="n">
        <v>0</v>
      </c>
      <c r="Q985" s="2" t="n">
        <v>1</v>
      </c>
      <c r="R985" s="2" t="n">
        <v>1</v>
      </c>
      <c r="S985" s="2" t="n"/>
      <c r="T985" s="2">
        <f>IF(OR(S985="",R985=0),"",ROUND(S985*R985,2))</f>
        <v/>
      </c>
      <c r="U985" s="2" t="inlineStr"/>
    </row>
    <row r="986">
      <c r="A986" s="2" t="inlineStr">
        <is>
          <t>Q</t>
        </is>
      </c>
      <c r="B986" s="2" t="inlineStr">
        <is>
          <t>INSTALLATIONS</t>
        </is>
      </c>
      <c r="C986" s="2" t="inlineStr">
        <is>
          <t>U</t>
        </is>
      </c>
      <c r="D986" s="2" t="inlineStr">
        <is>
          <t>FCU-CH-01, 8.9 kW Total Cooling Capacity</t>
        </is>
      </c>
      <c r="E986" s="2" t="inlineStr">
        <is>
          <t>Set</t>
        </is>
      </c>
      <c r="F986" s="2" t="n">
        <v>0</v>
      </c>
      <c r="G986" s="2" t="n">
        <v>0</v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1</v>
      </c>
      <c r="O986" s="2" t="n">
        <v>0</v>
      </c>
      <c r="P986" s="2" t="n">
        <v>0</v>
      </c>
      <c r="Q986" s="2" t="n">
        <v>1</v>
      </c>
      <c r="R986" s="2" t="n">
        <v>1</v>
      </c>
      <c r="S986" s="2" t="n"/>
      <c r="T986" s="2">
        <f>IF(OR(S986="",R986=0),"",ROUND(S986*R986,2))</f>
        <v/>
      </c>
      <c r="U986" s="2" t="inlineStr"/>
    </row>
    <row r="987">
      <c r="A987" s="2" t="inlineStr">
        <is>
          <t>Q</t>
        </is>
      </c>
      <c r="B987" s="2" t="inlineStr">
        <is>
          <t>INSTALLATIONS</t>
        </is>
      </c>
      <c r="C987" s="2" t="inlineStr">
        <is>
          <t>V</t>
        </is>
      </c>
      <c r="D987" s="2" t="inlineStr">
        <is>
          <t>EAL, 400mm x 200mm</t>
        </is>
      </c>
      <c r="E987" s="2" t="inlineStr">
        <is>
          <t>No</t>
        </is>
      </c>
      <c r="F987" s="2" t="n">
        <v>2</v>
      </c>
      <c r="G987" s="2" t="n">
        <v>2</v>
      </c>
      <c r="H987" s="2" t="n">
        <v>2</v>
      </c>
      <c r="I987" s="2" t="n">
        <v>2</v>
      </c>
      <c r="J987" s="2" t="n">
        <v>2</v>
      </c>
      <c r="K987" s="2" t="n">
        <v>2</v>
      </c>
      <c r="L987" s="2" t="n">
        <v>1</v>
      </c>
      <c r="M987" s="2" t="n">
        <v>1</v>
      </c>
      <c r="N987" s="2" t="n">
        <v>0</v>
      </c>
      <c r="O987" s="2" t="n">
        <v>0</v>
      </c>
      <c r="P987" s="2" t="n">
        <v>0</v>
      </c>
      <c r="Q987" s="2" t="n">
        <v>14</v>
      </c>
      <c r="R987" s="2" t="n">
        <v>221</v>
      </c>
      <c r="S987" s="2" t="n"/>
      <c r="T987" s="2">
        <f>IF(OR(S987="",R987=0),"",ROUND(S987*R987,2))</f>
        <v/>
      </c>
      <c r="U987" s="2" t="inlineStr"/>
    </row>
    <row r="988">
      <c r="A988" s="2" t="inlineStr">
        <is>
          <t>Q</t>
        </is>
      </c>
      <c r="B988" s="2" t="inlineStr">
        <is>
          <t>INSTALLATIONS</t>
        </is>
      </c>
      <c r="C988" s="2" t="inlineStr">
        <is>
          <t>V</t>
        </is>
      </c>
      <c r="D988" s="2" t="inlineStr">
        <is>
          <t>VCD, 450mm x 200mm</t>
        </is>
      </c>
      <c r="E988" s="2" t="inlineStr">
        <is>
          <t>No</t>
        </is>
      </c>
      <c r="F988" s="2" t="n">
        <v>0</v>
      </c>
      <c r="G988" s="2" t="n">
        <v>0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1</v>
      </c>
      <c r="M988" s="2" t="n">
        <v>1</v>
      </c>
      <c r="N988" s="2" t="n">
        <v>0</v>
      </c>
      <c r="O988" s="2" t="n">
        <v>0</v>
      </c>
      <c r="P988" s="2" t="n">
        <v>0</v>
      </c>
      <c r="Q988" s="2" t="n">
        <v>2</v>
      </c>
      <c r="R988" s="2" t="n">
        <v>37</v>
      </c>
      <c r="S988" s="2" t="n"/>
      <c r="T988" s="2">
        <f>IF(OR(S988="",R988=0),"",ROUND(S988*R988,2))</f>
        <v/>
      </c>
      <c r="U988" s="2" t="inlineStr"/>
    </row>
    <row r="989">
      <c r="A989" s="2" t="inlineStr">
        <is>
          <t>Q</t>
        </is>
      </c>
      <c r="B989" s="2" t="inlineStr">
        <is>
          <t>INSTALLATIONS</t>
        </is>
      </c>
      <c r="C989" s="2" t="inlineStr">
        <is>
          <t>V</t>
        </is>
      </c>
      <c r="D989" s="2" t="inlineStr">
        <is>
          <t>FCU-CH-02, 8.9 kW Total Cooling Capacity</t>
        </is>
      </c>
      <c r="E989" s="2" t="inlineStr">
        <is>
          <t>Set</t>
        </is>
      </c>
      <c r="F989" s="2" t="n">
        <v>0</v>
      </c>
      <c r="G989" s="2" t="n">
        <v>0</v>
      </c>
      <c r="H989" s="2" t="n">
        <v>0</v>
      </c>
      <c r="I989" s="2" t="n">
        <v>0</v>
      </c>
      <c r="J989" s="2" t="n">
        <v>0</v>
      </c>
      <c r="K989" s="2" t="n">
        <v>0</v>
      </c>
      <c r="L989" s="2" t="n">
        <v>0</v>
      </c>
      <c r="M989" s="2" t="n">
        <v>0</v>
      </c>
      <c r="N989" s="2" t="n">
        <v>1</v>
      </c>
      <c r="O989" s="2" t="n">
        <v>0</v>
      </c>
      <c r="P989" s="2" t="n">
        <v>0</v>
      </c>
      <c r="Q989" s="2" t="n">
        <v>1</v>
      </c>
      <c r="R989" s="2" t="n">
        <v>1</v>
      </c>
      <c r="S989" s="2" t="n"/>
      <c r="T989" s="2">
        <f>IF(OR(S989="",R989=0),"",ROUND(S989*R989,2))</f>
        <v/>
      </c>
      <c r="U989" s="2" t="inlineStr"/>
    </row>
    <row r="990">
      <c r="A990" s="2" t="inlineStr">
        <is>
          <t>Q</t>
        </is>
      </c>
      <c r="B990" s="2" t="inlineStr">
        <is>
          <t>INSTALLATIONS</t>
        </is>
      </c>
      <c r="C990" s="2" t="inlineStr">
        <is>
          <t>W</t>
        </is>
      </c>
      <c r="D990" s="2" t="inlineStr">
        <is>
          <t>EAL, 500mm x 250mm</t>
        </is>
      </c>
      <c r="E990" s="2" t="inlineStr">
        <is>
          <t>No</t>
        </is>
      </c>
      <c r="F990" s="2" t="n">
        <v>0</v>
      </c>
      <c r="G990" s="2" t="n">
        <v>0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1</v>
      </c>
      <c r="O990" s="2" t="n">
        <v>0</v>
      </c>
      <c r="P990" s="2" t="n">
        <v>0</v>
      </c>
      <c r="Q990" s="2" t="n">
        <v>1</v>
      </c>
      <c r="R990" s="2" t="n">
        <v>1</v>
      </c>
      <c r="S990" s="2" t="n"/>
      <c r="T990" s="2">
        <f>IF(OR(S990="",R990=0),"",ROUND(S990*R990,2))</f>
        <v/>
      </c>
      <c r="U990" s="2" t="inlineStr"/>
    </row>
    <row r="991">
      <c r="A991" s="2" t="inlineStr">
        <is>
          <t>Q</t>
        </is>
      </c>
      <c r="B991" s="2" t="inlineStr">
        <is>
          <t>INSTALLATIONS</t>
        </is>
      </c>
      <c r="C991" s="2" t="inlineStr">
        <is>
          <t>W</t>
        </is>
      </c>
      <c r="D991" s="2" t="inlineStr">
        <is>
          <t>VCD, 500mm x 250mm</t>
        </is>
      </c>
      <c r="E991" s="2" t="inlineStr">
        <is>
          <t>No</t>
        </is>
      </c>
      <c r="F991" s="2" t="n">
        <v>0</v>
      </c>
      <c r="G991" s="2" t="n">
        <v>0</v>
      </c>
      <c r="H991" s="2" t="n">
        <v>0</v>
      </c>
      <c r="I991" s="2" t="n">
        <v>0</v>
      </c>
      <c r="J991" s="2" t="n">
        <v>0</v>
      </c>
      <c r="K991" s="2" t="n">
        <v>0</v>
      </c>
      <c r="L991" s="2" t="n">
        <v>1</v>
      </c>
      <c r="M991" s="2" t="n">
        <v>1</v>
      </c>
      <c r="N991" s="2" t="n">
        <v>0</v>
      </c>
      <c r="O991" s="2" t="n">
        <v>0</v>
      </c>
      <c r="P991" s="2" t="n">
        <v>0</v>
      </c>
      <c r="Q991" s="2" t="n">
        <v>2</v>
      </c>
      <c r="R991" s="2" t="n">
        <v>37</v>
      </c>
      <c r="S991" s="2" t="n"/>
      <c r="T991" s="2">
        <f>IF(OR(S991="",R991=0),"",ROUND(S991*R991,2))</f>
        <v/>
      </c>
      <c r="U991" s="2" t="inlineStr"/>
    </row>
    <row r="992">
      <c r="A992" s="2" t="inlineStr">
        <is>
          <t>Q</t>
        </is>
      </c>
      <c r="B992" s="2" t="inlineStr">
        <is>
          <t>INSTALLATIONS</t>
        </is>
      </c>
      <c r="C992" s="2" t="inlineStr">
        <is>
          <t>W</t>
        </is>
      </c>
      <c r="D992" s="2" t="inlineStr">
        <is>
          <t>FCU-CH-03, 8.9 kW Total Cooling Capacity</t>
        </is>
      </c>
      <c r="E992" s="2" t="inlineStr">
        <is>
          <t>Set</t>
        </is>
      </c>
      <c r="F992" s="2" t="n">
        <v>0</v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1</v>
      </c>
      <c r="O992" s="2" t="n">
        <v>0</v>
      </c>
      <c r="P992" s="2" t="n">
        <v>0</v>
      </c>
      <c r="Q992" s="2" t="n">
        <v>1</v>
      </c>
      <c r="R992" s="2" t="n">
        <v>1</v>
      </c>
      <c r="S992" s="2" t="n"/>
      <c r="T992" s="2">
        <f>IF(OR(S992="",R992=0),"",ROUND(S992*R992,2))</f>
        <v/>
      </c>
      <c r="U992" s="2" t="inlineStr"/>
    </row>
    <row r="993">
      <c r="A993" s="2" t="inlineStr">
        <is>
          <t>Q</t>
        </is>
      </c>
      <c r="B993" s="2" t="inlineStr">
        <is>
          <t>INSTALLATIONS</t>
        </is>
      </c>
      <c r="C993" s="2" t="inlineStr">
        <is>
          <t>X</t>
        </is>
      </c>
      <c r="D993" s="2" t="inlineStr">
        <is>
          <t>VCD, 600mm x 200mm</t>
        </is>
      </c>
      <c r="E993" s="2" t="inlineStr">
        <is>
          <t>No</t>
        </is>
      </c>
      <c r="F993" s="2" t="n">
        <v>0</v>
      </c>
      <c r="G993" s="2" t="n">
        <v>0</v>
      </c>
      <c r="H993" s="2" t="n">
        <v>0</v>
      </c>
      <c r="I993" s="2" t="n">
        <v>0</v>
      </c>
      <c r="J993" s="2" t="n">
        <v>0</v>
      </c>
      <c r="K993" s="2" t="n">
        <v>0</v>
      </c>
      <c r="L993" s="2" t="n">
        <v>2</v>
      </c>
      <c r="M993" s="2" t="n">
        <v>2</v>
      </c>
      <c r="N993" s="2" t="n">
        <v>0</v>
      </c>
      <c r="O993" s="2" t="n">
        <v>0</v>
      </c>
      <c r="P993" s="2" t="n">
        <v>0</v>
      </c>
      <c r="Q993" s="2" t="n">
        <v>4</v>
      </c>
      <c r="R993" s="2" t="n">
        <v>74</v>
      </c>
      <c r="S993" s="2" t="n"/>
      <c r="T993" s="2">
        <f>IF(OR(S993="",R993=0),"",ROUND(S993*R993,2))</f>
        <v/>
      </c>
      <c r="U993" s="2" t="inlineStr"/>
    </row>
    <row r="994">
      <c r="A994" s="2" t="inlineStr">
        <is>
          <t>Q</t>
        </is>
      </c>
      <c r="B994" s="2" t="inlineStr">
        <is>
          <t>INSTALLATIONS</t>
        </is>
      </c>
      <c r="C994" s="2" t="inlineStr">
        <is>
          <t>X</t>
        </is>
      </c>
      <c r="D994" s="2" t="inlineStr">
        <is>
          <t>FCU-GY-01, 9.7 kW Total Cooling Capacity</t>
        </is>
      </c>
      <c r="E994" s="2" t="inlineStr">
        <is>
          <t>Set</t>
        </is>
      </c>
      <c r="F994" s="2" t="n">
        <v>0</v>
      </c>
      <c r="G994" s="2" t="n">
        <v>0</v>
      </c>
      <c r="H994" s="2" t="n">
        <v>0</v>
      </c>
      <c r="I994" s="2" t="n">
        <v>0</v>
      </c>
      <c r="J994" s="2" t="n">
        <v>0</v>
      </c>
      <c r="K994" s="2" t="n">
        <v>0</v>
      </c>
      <c r="L994" s="2" t="n">
        <v>0</v>
      </c>
      <c r="M994" s="2" t="n">
        <v>0</v>
      </c>
      <c r="N994" s="2" t="n">
        <v>1</v>
      </c>
      <c r="O994" s="2" t="n">
        <v>0</v>
      </c>
      <c r="P994" s="2" t="n">
        <v>0</v>
      </c>
      <c r="Q994" s="2" t="n">
        <v>1</v>
      </c>
      <c r="R994" s="2" t="n">
        <v>1</v>
      </c>
      <c r="S994" s="2" t="n"/>
      <c r="T994" s="2">
        <f>IF(OR(S994="",R994=0),"",ROUND(S994*R994,2))</f>
        <v/>
      </c>
      <c r="U994" s="2" t="inlineStr"/>
    </row>
    <row r="995">
      <c r="A995" s="2" t="inlineStr">
        <is>
          <t>Q</t>
        </is>
      </c>
      <c r="B995" s="2" t="inlineStr">
        <is>
          <t>INSTALLATIONS</t>
        </is>
      </c>
      <c r="C995" s="2" t="inlineStr">
        <is>
          <t>Y</t>
        </is>
      </c>
      <c r="D995" s="2" t="inlineStr">
        <is>
          <t>VCD, 700mm x 150mm</t>
        </is>
      </c>
      <c r="E995" s="2" t="inlineStr">
        <is>
          <t>No</t>
        </is>
      </c>
      <c r="F995" s="2" t="n">
        <v>2</v>
      </c>
      <c r="G995" s="2" t="n">
        <v>2</v>
      </c>
      <c r="H995" s="2" t="n">
        <v>2</v>
      </c>
      <c r="I995" s="2" t="n">
        <v>2</v>
      </c>
      <c r="J995" s="2" t="n">
        <v>2</v>
      </c>
      <c r="K995" s="2" t="n">
        <v>2</v>
      </c>
      <c r="L995" s="2" t="n">
        <v>0</v>
      </c>
      <c r="M995" s="2" t="n">
        <v>0</v>
      </c>
      <c r="N995" s="2" t="n">
        <v>0</v>
      </c>
      <c r="O995" s="2" t="n">
        <v>0</v>
      </c>
      <c r="P995" s="2" t="n">
        <v>0</v>
      </c>
      <c r="Q995" s="2" t="n">
        <v>12</v>
      </c>
      <c r="R995" s="2" t="n">
        <v>184</v>
      </c>
      <c r="S995" s="2" t="n"/>
      <c r="T995" s="2">
        <f>IF(OR(S995="",R995=0),"",ROUND(S995*R995,2))</f>
        <v/>
      </c>
      <c r="U995" s="2" t="inlineStr"/>
    </row>
    <row r="996">
      <c r="A996" s="2" t="inlineStr">
        <is>
          <t>Q</t>
        </is>
      </c>
      <c r="B996" s="2" t="inlineStr">
        <is>
          <t>INSTALLATIONS</t>
        </is>
      </c>
      <c r="C996" s="2" t="inlineStr">
        <is>
          <t>Y</t>
        </is>
      </c>
      <c r="D996" s="2" t="inlineStr">
        <is>
          <t>FCU-GY-02, 9.7 kW Total Cooling Capacity</t>
        </is>
      </c>
      <c r="E996" s="2" t="inlineStr">
        <is>
          <t>Set</t>
        </is>
      </c>
      <c r="F996" s="2" t="n">
        <v>0</v>
      </c>
      <c r="G996" s="2" t="n">
        <v>0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1</v>
      </c>
      <c r="O996" s="2" t="n">
        <v>0</v>
      </c>
      <c r="P996" s="2" t="n">
        <v>0</v>
      </c>
      <c r="Q996" s="2" t="n">
        <v>1</v>
      </c>
      <c r="R996" s="2" t="n">
        <v>1</v>
      </c>
      <c r="S996" s="2" t="n"/>
      <c r="T996" s="2">
        <f>IF(OR(S996="",R996=0),"",ROUND(S996*R996,2))</f>
        <v/>
      </c>
      <c r="U996" s="2" t="inlineStr"/>
    </row>
    <row r="997">
      <c r="A997" s="2" t="inlineStr">
        <is>
          <t>Q</t>
        </is>
      </c>
      <c r="B997" s="2" t="inlineStr">
        <is>
          <t>INSTALLATIONS</t>
        </is>
      </c>
      <c r="C997" s="2" t="inlineStr">
        <is>
          <t>Z</t>
        </is>
      </c>
      <c r="D997" s="2" t="inlineStr">
        <is>
          <t>FCU-GY-03, 9.7 kW Total Cooling Capacity</t>
        </is>
      </c>
      <c r="E997" s="2" t="inlineStr">
        <is>
          <t>Set</t>
        </is>
      </c>
      <c r="F997" s="2" t="n">
        <v>0</v>
      </c>
      <c r="G997" s="2" t="n">
        <v>0</v>
      </c>
      <c r="H997" s="2" t="n">
        <v>0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0</v>
      </c>
      <c r="N997" s="2" t="n">
        <v>1</v>
      </c>
      <c r="O997" s="2" t="n">
        <v>0</v>
      </c>
      <c r="P997" s="2" t="n">
        <v>0</v>
      </c>
      <c r="Q997" s="2" t="n">
        <v>1</v>
      </c>
      <c r="R997" s="2" t="n">
        <v>1</v>
      </c>
      <c r="S997" s="2" t="n"/>
      <c r="T997" s="2">
        <f>IF(OR(S997="",R997=0),"",ROUND(S997*R997,2))</f>
        <v/>
      </c>
      <c r="U997" s="2" t="inlineStr"/>
    </row>
    <row r="998">
      <c r="A998" s="2" t="inlineStr">
        <is>
          <t>Q</t>
        </is>
      </c>
      <c r="B998" s="2" t="inlineStr">
        <is>
          <t>LPG SYSTEM</t>
        </is>
      </c>
      <c r="C998" s="2" t="inlineStr">
        <is>
          <t>A</t>
        </is>
      </c>
      <c r="D998" s="2" t="inlineStr">
        <is>
          <t>25mm diameter</t>
        </is>
      </c>
      <c r="E998" s="2" t="inlineStr">
        <is>
          <t>m</t>
        </is>
      </c>
      <c r="F998" s="2" t="n">
        <v>21</v>
      </c>
      <c r="G998" s="2" t="n">
        <v>21</v>
      </c>
      <c r="H998" s="2" t="n">
        <v>32</v>
      </c>
      <c r="I998" s="2" t="n">
        <v>32</v>
      </c>
      <c r="J998" s="2" t="n">
        <v>44</v>
      </c>
      <c r="K998" s="2" t="n">
        <v>44</v>
      </c>
      <c r="L998" s="2" t="n">
        <v>20</v>
      </c>
      <c r="M998" s="2" t="n">
        <v>20</v>
      </c>
      <c r="N998" s="2" t="n">
        <v>0</v>
      </c>
      <c r="O998" s="2" t="n">
        <v>0</v>
      </c>
      <c r="P998" s="2" t="n">
        <v>0</v>
      </c>
      <c r="Q998" s="2" t="n">
        <v>234</v>
      </c>
      <c r="R998" s="2" t="n">
        <v>3469</v>
      </c>
      <c r="S998" s="2" t="n"/>
      <c r="T998" s="2">
        <f>IF(OR(S998="",R998=0),"",ROUND(S998*R998,2))</f>
        <v/>
      </c>
      <c r="U998" s="2" t="inlineStr"/>
    </row>
    <row r="999">
      <c r="A999" s="2" t="inlineStr">
        <is>
          <t>Q</t>
        </is>
      </c>
      <c r="B999" s="2" t="inlineStr">
        <is>
          <t>LPG SYSTEM</t>
        </is>
      </c>
      <c r="C999" s="2" t="inlineStr">
        <is>
          <t>B</t>
        </is>
      </c>
      <c r="D999" s="2" t="inlineStr">
        <is>
          <t>Allow LPG Connection from External Network</t>
        </is>
      </c>
      <c r="E999" s="2" t="inlineStr">
        <is>
          <t>Item</t>
        </is>
      </c>
      <c r="F999" s="2" t="n">
        <v>4</v>
      </c>
      <c r="G999" s="2" t="n">
        <v>4</v>
      </c>
      <c r="H999" s="2" t="n">
        <v>6</v>
      </c>
      <c r="I999" s="2" t="n">
        <v>6</v>
      </c>
      <c r="J999" s="2" t="n">
        <v>8</v>
      </c>
      <c r="K999" s="2" t="n">
        <v>8</v>
      </c>
      <c r="L999" s="2" t="n">
        <v>1</v>
      </c>
      <c r="M999" s="2" t="n">
        <v>1</v>
      </c>
      <c r="N999" s="2" t="n">
        <v>0</v>
      </c>
      <c r="O999" s="2" t="n">
        <v>0</v>
      </c>
      <c r="P999" s="2" t="n">
        <v>0</v>
      </c>
      <c r="Q999" s="2" t="n">
        <v>38</v>
      </c>
      <c r="R999" s="2" t="n">
        <v>547</v>
      </c>
      <c r="S999" s="2" t="n"/>
      <c r="T999" s="2">
        <f>IF(OR(S999="",R999=0),"",ROUND(S999*R999,2))</f>
        <v/>
      </c>
      <c r="U999" s="2" t="inlineStr"/>
    </row>
    <row r="1000">
      <c r="A1000" s="2" t="inlineStr">
        <is>
          <t>Q</t>
        </is>
      </c>
      <c r="B1000" s="2" t="inlineStr">
        <is>
          <t>LPG SYSTEM</t>
        </is>
      </c>
      <c r="C1000" s="2" t="inlineStr">
        <is>
          <t>C</t>
        </is>
      </c>
      <c r="D1000" s="2" t="inlineStr">
        <is>
          <t>15mm diameter</t>
        </is>
      </c>
      <c r="E1000" s="2" t="inlineStr">
        <is>
          <t>m</t>
        </is>
      </c>
      <c r="F1000" s="2" t="n">
        <v>55</v>
      </c>
      <c r="G1000" s="2" t="n">
        <v>55</v>
      </c>
      <c r="H1000" s="2" t="n">
        <v>84</v>
      </c>
      <c r="I1000" s="2" t="n">
        <v>84</v>
      </c>
      <c r="J1000" s="2" t="n">
        <v>112</v>
      </c>
      <c r="K1000" s="2" t="n">
        <v>112</v>
      </c>
      <c r="L1000" s="2" t="n">
        <v>2</v>
      </c>
      <c r="M1000" s="2" t="n">
        <v>2</v>
      </c>
      <c r="N1000" s="2" t="n">
        <v>0</v>
      </c>
      <c r="O1000" s="2" t="n">
        <v>0</v>
      </c>
      <c r="P1000" s="2" t="n">
        <v>0</v>
      </c>
      <c r="Q1000" s="2" t="n">
        <v>506</v>
      </c>
      <c r="R1000" s="2" t="n">
        <v>7177</v>
      </c>
      <c r="S1000" s="2" t="n"/>
      <c r="T1000" s="2">
        <f>IF(OR(S1000="",R1000=0),"",ROUND(S1000*R1000,2))</f>
        <v/>
      </c>
      <c r="U1000" s="2" t="inlineStr"/>
    </row>
    <row r="1001">
      <c r="A1001" s="2" t="inlineStr">
        <is>
          <t>Q</t>
        </is>
      </c>
      <c r="B1001" s="2" t="inlineStr">
        <is>
          <t>LPG SYSTEM</t>
        </is>
      </c>
      <c r="C1001" s="2" t="inlineStr">
        <is>
          <t>D</t>
        </is>
      </c>
      <c r="D1001" s="2" t="inlineStr">
        <is>
          <t>15mm diameter (in 25mm dimater GRP sleeve)</t>
        </is>
      </c>
      <c r="E1001" s="2" t="inlineStr">
        <is>
          <t>m</t>
        </is>
      </c>
      <c r="F1001" s="2" t="n">
        <v>12</v>
      </c>
      <c r="G1001" s="2" t="n">
        <v>12</v>
      </c>
      <c r="H1001" s="2" t="n">
        <v>18</v>
      </c>
      <c r="I1001" s="2" t="n">
        <v>18</v>
      </c>
      <c r="J1001" s="2" t="n">
        <v>24</v>
      </c>
      <c r="K1001" s="2" t="n">
        <v>24</v>
      </c>
      <c r="L1001" s="2" t="n">
        <v>3</v>
      </c>
      <c r="M1001" s="2" t="n">
        <v>3</v>
      </c>
      <c r="N1001" s="2" t="n">
        <v>0</v>
      </c>
      <c r="O1001" s="2" t="n">
        <v>0</v>
      </c>
      <c r="P1001" s="2" t="n">
        <v>0</v>
      </c>
      <c r="Q1001" s="2" t="n">
        <v>114</v>
      </c>
      <c r="R1001" s="2" t="n">
        <v>1641</v>
      </c>
      <c r="S1001" s="2" t="n"/>
      <c r="T1001" s="2">
        <f>IF(OR(S1001="",R1001=0),"",ROUND(S1001*R1001,2))</f>
        <v/>
      </c>
      <c r="U1001" s="2" t="inlineStr"/>
    </row>
    <row r="1002">
      <c r="A1002" s="2" t="inlineStr">
        <is>
          <t>Q</t>
        </is>
      </c>
      <c r="B1002" s="2" t="inlineStr">
        <is>
          <t>LPG SYSTEM</t>
        </is>
      </c>
      <c r="C1002" s="2" t="inlineStr">
        <is>
          <t>E</t>
        </is>
      </c>
      <c r="D1002" s="2" t="inlineStr">
        <is>
          <t>Gas Meter Assembly (in 500mm x 500mm x 250mm cabinet), 25mm diametet</t>
        </is>
      </c>
      <c r="E1002" s="2" t="inlineStr">
        <is>
          <t>No</t>
        </is>
      </c>
      <c r="F1002" s="2" t="n">
        <v>4</v>
      </c>
      <c r="G1002" s="2" t="n">
        <v>4</v>
      </c>
      <c r="H1002" s="2" t="n">
        <v>6</v>
      </c>
      <c r="I1002" s="2" t="n">
        <v>6</v>
      </c>
      <c r="J1002" s="2" t="n">
        <v>8</v>
      </c>
      <c r="K1002" s="2" t="n">
        <v>8</v>
      </c>
      <c r="L1002" s="2" t="n">
        <v>1</v>
      </c>
      <c r="M1002" s="2" t="n">
        <v>1</v>
      </c>
      <c r="N1002" s="2" t="n">
        <v>0</v>
      </c>
      <c r="O1002" s="2" t="n">
        <v>0</v>
      </c>
      <c r="P1002" s="2" t="n">
        <v>0</v>
      </c>
      <c r="Q1002" s="2" t="n">
        <v>38</v>
      </c>
      <c r="R1002" s="2" t="n">
        <v>547</v>
      </c>
      <c r="S1002" s="2" t="n"/>
      <c r="T1002" s="2">
        <f>IF(OR(S1002="",R1002=0),"",ROUND(S1002*R1002,2))</f>
        <v/>
      </c>
      <c r="U1002" s="2" t="inlineStr"/>
    </row>
    <row r="1003">
      <c r="A1003" s="2" t="inlineStr">
        <is>
          <t>Q</t>
        </is>
      </c>
      <c r="B1003" s="2" t="inlineStr">
        <is>
          <t>LPG SYSTEM</t>
        </is>
      </c>
      <c r="C1003" s="2" t="inlineStr">
        <is>
          <t>F</t>
        </is>
      </c>
      <c r="D1003" s="2" t="inlineStr">
        <is>
          <t>Auto Shut-off Valve</t>
        </is>
      </c>
      <c r="E1003" s="2" t="inlineStr">
        <is>
          <t>No</t>
        </is>
      </c>
      <c r="F1003" s="2" t="n">
        <v>4</v>
      </c>
      <c r="G1003" s="2" t="n">
        <v>4</v>
      </c>
      <c r="H1003" s="2" t="n">
        <v>6</v>
      </c>
      <c r="I1003" s="2" t="n">
        <v>6</v>
      </c>
      <c r="J1003" s="2" t="n">
        <v>8</v>
      </c>
      <c r="K1003" s="2" t="n">
        <v>8</v>
      </c>
      <c r="L1003" s="2" t="n">
        <v>1</v>
      </c>
      <c r="M1003" s="2" t="n">
        <v>1</v>
      </c>
      <c r="N1003" s="2" t="n">
        <v>0</v>
      </c>
      <c r="O1003" s="2" t="n">
        <v>0</v>
      </c>
      <c r="P1003" s="2" t="n">
        <v>0</v>
      </c>
      <c r="Q1003" s="2" t="n">
        <v>38</v>
      </c>
      <c r="R1003" s="2" t="n">
        <v>547</v>
      </c>
      <c r="S1003" s="2" t="n"/>
      <c r="T1003" s="2">
        <f>IF(OR(S1003="",R1003=0),"",ROUND(S1003*R1003,2))</f>
        <v/>
      </c>
      <c r="U1003" s="2" t="inlineStr"/>
    </row>
    <row r="1004">
      <c r="A1004" s="2" t="inlineStr">
        <is>
          <t>Q</t>
        </is>
      </c>
      <c r="B1004" s="2" t="inlineStr">
        <is>
          <t>LPG SYSTEM</t>
        </is>
      </c>
      <c r="C1004" s="2" t="inlineStr">
        <is>
          <t>G</t>
        </is>
      </c>
      <c r="D1004" s="2" t="inlineStr">
        <is>
          <t>Gas Detector, (Ref. GD)</t>
        </is>
      </c>
      <c r="E1004" s="2" t="inlineStr">
        <is>
          <t>No</t>
        </is>
      </c>
      <c r="F1004" s="2" t="n">
        <v>8</v>
      </c>
      <c r="G1004" s="2" t="n">
        <v>8</v>
      </c>
      <c r="H1004" s="2" t="n">
        <v>12</v>
      </c>
      <c r="I1004" s="2" t="n">
        <v>12</v>
      </c>
      <c r="J1004" s="2" t="n">
        <v>16</v>
      </c>
      <c r="K1004" s="2" t="n">
        <v>16</v>
      </c>
      <c r="L1004" s="2" t="n">
        <v>1</v>
      </c>
      <c r="M1004" s="2" t="n">
        <v>1</v>
      </c>
      <c r="N1004" s="2" t="n">
        <v>0</v>
      </c>
      <c r="O1004" s="2" t="n">
        <v>0</v>
      </c>
      <c r="P1004" s="2" t="n">
        <v>0</v>
      </c>
      <c r="Q1004" s="2" t="n">
        <v>74</v>
      </c>
      <c r="R1004" s="2" t="n">
        <v>1057</v>
      </c>
      <c r="S1004" s="2" t="n"/>
      <c r="T1004" s="2">
        <f>IF(OR(S1004="",R1004=0),"",ROUND(S1004*R1004,2))</f>
        <v/>
      </c>
      <c r="U1004" s="2" t="inlineStr"/>
    </row>
    <row r="1005">
      <c r="A1005" s="2" t="inlineStr">
        <is>
          <t>Q</t>
        </is>
      </c>
      <c r="B1005" s="2" t="inlineStr">
        <is>
          <t>LPG SYSTEM</t>
        </is>
      </c>
      <c r="C1005" s="2" t="inlineStr">
        <is>
          <t>H</t>
        </is>
      </c>
      <c r="D1005" s="2" t="inlineStr">
        <is>
          <t>Emergency Switch, (Ref. GD)</t>
        </is>
      </c>
      <c r="E1005" s="2" t="inlineStr">
        <is>
          <t>No</t>
        </is>
      </c>
      <c r="F1005" s="2" t="n">
        <v>4</v>
      </c>
      <c r="G1005" s="2" t="n">
        <v>4</v>
      </c>
      <c r="H1005" s="2" t="n">
        <v>6</v>
      </c>
      <c r="I1005" s="2" t="n">
        <v>6</v>
      </c>
      <c r="J1005" s="2" t="n">
        <v>8</v>
      </c>
      <c r="K1005" s="2" t="n">
        <v>8</v>
      </c>
      <c r="L1005" s="2" t="n">
        <v>1</v>
      </c>
      <c r="M1005" s="2" t="n">
        <v>1</v>
      </c>
      <c r="N1005" s="2" t="n">
        <v>0</v>
      </c>
      <c r="O1005" s="2" t="n">
        <v>0</v>
      </c>
      <c r="P1005" s="2" t="n">
        <v>0</v>
      </c>
      <c r="Q1005" s="2" t="n">
        <v>38</v>
      </c>
      <c r="R1005" s="2" t="n">
        <v>547</v>
      </c>
      <c r="S1005" s="2" t="n"/>
      <c r="T1005" s="2">
        <f>IF(OR(S1005="",R1005=0),"",ROUND(S1005*R1005,2))</f>
        <v/>
      </c>
      <c r="U1005" s="2" t="inlineStr"/>
    </row>
    <row r="1006">
      <c r="A1006" s="2" t="inlineStr">
        <is>
          <t>Q</t>
        </is>
      </c>
      <c r="B1006" s="2" t="inlineStr">
        <is>
          <t>SUNDRIES</t>
        </is>
      </c>
      <c r="C1006" s="2" t="inlineStr">
        <is>
          <t>A</t>
        </is>
      </c>
      <c r="D1006" s="2" t="inlineStr">
        <is>
          <t>Identification including plates, discs, labels, colour coding and the like</t>
        </is>
      </c>
      <c r="E1006" s="2" t="inlineStr">
        <is>
          <t>Item</t>
        </is>
      </c>
      <c r="F1006" s="2" t="n">
        <v>0</v>
      </c>
      <c r="G1006" s="2" t="n">
        <v>0</v>
      </c>
      <c r="H1006" s="2" t="n">
        <v>0</v>
      </c>
      <c r="I1006" s="2" t="n">
        <v>0</v>
      </c>
      <c r="J1006" s="2" t="n">
        <v>0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n">
        <v>0</v>
      </c>
      <c r="Q1006" s="2" t="n">
        <v>0</v>
      </c>
      <c r="R1006" s="2" t="n">
        <v>0</v>
      </c>
      <c r="S1006" s="2" t="n"/>
      <c r="T1006" s="2">
        <f>IF(OR(S1006="",R1006=0),"",ROUND(S1006*R1006,2))</f>
        <v/>
      </c>
      <c r="U1006" s="2" t="inlineStr"/>
    </row>
    <row r="1007">
      <c r="A1007" s="2" t="inlineStr">
        <is>
          <t>Q</t>
        </is>
      </c>
      <c r="B1007" s="2" t="inlineStr">
        <is>
          <t>SUNDRIES</t>
        </is>
      </c>
      <c r="C1007" s="2" t="inlineStr">
        <is>
          <t>B</t>
        </is>
      </c>
      <c r="D1007" s="2" t="inlineStr">
        <is>
          <t>Testing and commissioning including operating completed installations and providing fuel and power</t>
        </is>
      </c>
      <c r="E1007" s="2" t="inlineStr">
        <is>
          <t>Item</t>
        </is>
      </c>
      <c r="F1007" s="2" t="n">
        <v>0</v>
      </c>
      <c r="G1007" s="2" t="n">
        <v>0</v>
      </c>
      <c r="H1007" s="2" t="n">
        <v>0</v>
      </c>
      <c r="I1007" s="2" t="n">
        <v>0</v>
      </c>
      <c r="J1007" s="2" t="n">
        <v>0</v>
      </c>
      <c r="K1007" s="2" t="n">
        <v>0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n">
        <v>0</v>
      </c>
      <c r="Q1007" s="2" t="n">
        <v>0</v>
      </c>
      <c r="R1007" s="2" t="n">
        <v>0</v>
      </c>
      <c r="S1007" s="2" t="n"/>
      <c r="T1007" s="2">
        <f>IF(OR(S1007="",R1007=0),"",ROUND(S1007*R1007,2))</f>
        <v/>
      </c>
      <c r="U1007" s="2" t="inlineStr"/>
    </row>
    <row r="1008">
      <c r="A1008" s="2" t="inlineStr">
        <is>
          <t>Q</t>
        </is>
      </c>
      <c r="B1008" s="2" t="inlineStr">
        <is>
          <t>SUNDRIES</t>
        </is>
      </c>
      <c r="C1008" s="2" t="inlineStr">
        <is>
          <t>C</t>
        </is>
      </c>
      <c r="D1008" s="2" t="inlineStr">
        <is>
          <t>Tools and spares including loose keys and consumables</t>
        </is>
      </c>
      <c r="E1008" s="2" t="inlineStr">
        <is>
          <t>Item</t>
        </is>
      </c>
      <c r="F1008" s="2" t="n">
        <v>0</v>
      </c>
      <c r="G1008" s="2" t="n">
        <v>0</v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n">
        <v>0</v>
      </c>
      <c r="P1008" s="2" t="n">
        <v>0</v>
      </c>
      <c r="Q1008" s="2" t="n">
        <v>0</v>
      </c>
      <c r="R1008" s="2" t="n">
        <v>0</v>
      </c>
      <c r="S1008" s="2" t="n"/>
      <c r="T1008" s="2">
        <f>IF(OR(S1008="",R1008=0),"",ROUND(S1008*R1008,2))</f>
        <v/>
      </c>
      <c r="U1008" s="2" t="inlineStr"/>
    </row>
    <row r="1009">
      <c r="A1009" s="2" t="inlineStr">
        <is>
          <t>Q</t>
        </is>
      </c>
      <c r="B1009" s="2" t="inlineStr">
        <is>
          <t>SUNDRIES</t>
        </is>
      </c>
      <c r="C1009" s="2" t="inlineStr">
        <is>
          <t>D</t>
        </is>
      </c>
      <c r="D1009" s="2" t="inlineStr">
        <is>
          <t>Documents including drawings, operating instructions and maintenance manuals</t>
        </is>
      </c>
      <c r="E1009" s="2" t="inlineStr">
        <is>
          <t>Item</t>
        </is>
      </c>
      <c r="F1009" s="2" t="n">
        <v>0</v>
      </c>
      <c r="G1009" s="2" t="n">
        <v>0</v>
      </c>
      <c r="H1009" s="2" t="n">
        <v>0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n">
        <v>0</v>
      </c>
      <c r="N1009" s="2" t="n">
        <v>0</v>
      </c>
      <c r="O1009" s="2" t="n">
        <v>0</v>
      </c>
      <c r="P1009" s="2" t="n">
        <v>0</v>
      </c>
      <c r="Q1009" s="2" t="n">
        <v>0</v>
      </c>
      <c r="R1009" s="2" t="n">
        <v>0</v>
      </c>
      <c r="S1009" s="2" t="n"/>
      <c r="T1009" s="2">
        <f>IF(OR(S1009="",R1009=0),"",ROUND(S1009*R1009,2))</f>
        <v/>
      </c>
      <c r="U1009" s="2" t="inlineStr"/>
    </row>
    <row r="1010">
      <c r="A1010" s="2" t="inlineStr">
        <is>
          <t>Q</t>
        </is>
      </c>
      <c r="B1010" s="2" t="inlineStr">
        <is>
          <t>SUNDRIES</t>
        </is>
      </c>
      <c r="C1010" s="2" t="inlineStr">
        <is>
          <t>E</t>
        </is>
      </c>
      <c r="D1010" s="2" t="inlineStr">
        <is>
          <t>Co-ordination with other engineering installations</t>
        </is>
      </c>
      <c r="E1010" s="2" t="inlineStr">
        <is>
          <t>Item</t>
        </is>
      </c>
      <c r="F1010" s="2" t="n">
        <v>0</v>
      </c>
      <c r="G1010" s="2" t="n">
        <v>0</v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0</v>
      </c>
      <c r="Q1010" s="2" t="n">
        <v>0</v>
      </c>
      <c r="R1010" s="2" t="n">
        <v>0</v>
      </c>
      <c r="S1010" s="2" t="n"/>
      <c r="T1010" s="2">
        <f>IF(OR(S1010="",R1010=0),"",ROUND(S1010*R1010,2))</f>
        <v/>
      </c>
      <c r="U1010" s="2" t="inlineStr"/>
    </row>
    <row r="1011">
      <c r="A1011" s="2" t="inlineStr">
        <is>
          <t>Q</t>
        </is>
      </c>
      <c r="B1011" s="2" t="inlineStr">
        <is>
          <t>SUNDRIES</t>
        </is>
      </c>
      <c r="C1011" s="2" t="inlineStr">
        <is>
          <t>F</t>
        </is>
      </c>
      <c r="D1011" s="2" t="inlineStr">
        <is>
          <t>Specific builder's work associated with plant and equipment including bases and associated ducts, sleeves supports etc complete</t>
        </is>
      </c>
      <c r="E1011" s="2" t="inlineStr">
        <is>
          <t>Item</t>
        </is>
      </c>
      <c r="F1011" s="2" t="n">
        <v>0</v>
      </c>
      <c r="G1011" s="2" t="n">
        <v>0</v>
      </c>
      <c r="H1011" s="2" t="n">
        <v>0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n">
        <v>0</v>
      </c>
      <c r="O1011" s="2" t="n">
        <v>0</v>
      </c>
      <c r="P1011" s="2" t="n">
        <v>0</v>
      </c>
      <c r="Q1011" s="2" t="n">
        <v>0</v>
      </c>
      <c r="R1011" s="2" t="n">
        <v>0</v>
      </c>
      <c r="S1011" s="2" t="n"/>
      <c r="T1011" s="2">
        <f>IF(OR(S1011="",R1011=0),"",ROUND(S1011*R1011,2))</f>
        <v/>
      </c>
      <c r="U1011" s="2" t="inlineStr"/>
    </row>
    <row r="1012">
      <c r="A1012" s="2" t="inlineStr">
        <is>
          <t>Q</t>
        </is>
      </c>
      <c r="B1012" s="2" t="inlineStr">
        <is>
          <t>SUNDRIES</t>
        </is>
      </c>
      <c r="C1012" s="2" t="inlineStr">
        <is>
          <t>G</t>
        </is>
      </c>
      <c r="D1012" s="2" t="inlineStr">
        <is>
          <t>General builders work including cutting or forming holes, mortices chases and the like and making good finishing</t>
        </is>
      </c>
      <c r="E1012" s="2" t="inlineStr">
        <is>
          <t>Item</t>
        </is>
      </c>
      <c r="F1012" s="2" t="n">
        <v>0</v>
      </c>
      <c r="G1012" s="2" t="n">
        <v>0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</v>
      </c>
      <c r="N1012" s="2" t="n">
        <v>0</v>
      </c>
      <c r="O1012" s="2" t="n">
        <v>0</v>
      </c>
      <c r="P1012" s="2" t="n">
        <v>0</v>
      </c>
      <c r="Q1012" s="2" t="n">
        <v>0</v>
      </c>
      <c r="R1012" s="2" t="n">
        <v>0</v>
      </c>
      <c r="S1012" s="2" t="n"/>
      <c r="T1012" s="2">
        <f>IF(OR(S1012="",R1012=0),"",ROUND(S1012*R1012,2))</f>
        <v/>
      </c>
      <c r="U1012" s="2" t="inlineStr"/>
    </row>
    <row r="1013">
      <c r="A1013" s="2" t="inlineStr">
        <is>
          <t>Q</t>
        </is>
      </c>
      <c r="B1013" s="2" t="inlineStr">
        <is>
          <t>SUNDRIES</t>
        </is>
      </c>
      <c r="C1013" s="2" t="inlineStr">
        <is>
          <t>H</t>
        </is>
      </c>
      <c r="D1013" s="2" t="inlineStr">
        <is>
          <t>Painting to mechanical engineering systems including removing protective coating and wrapping</t>
        </is>
      </c>
      <c r="E1013" s="2" t="inlineStr">
        <is>
          <t>Item</t>
        </is>
      </c>
      <c r="F1013" s="2" t="n">
        <v>0</v>
      </c>
      <c r="G1013" s="2" t="n">
        <v>0</v>
      </c>
      <c r="H1013" s="2" t="n">
        <v>0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0</v>
      </c>
      <c r="N1013" s="2" t="n">
        <v>0</v>
      </c>
      <c r="O1013" s="2" t="n">
        <v>0</v>
      </c>
      <c r="P1013" s="2" t="n">
        <v>0</v>
      </c>
      <c r="Q1013" s="2" t="n">
        <v>0</v>
      </c>
      <c r="R1013" s="2" t="n">
        <v>0</v>
      </c>
      <c r="S1013" s="2" t="n"/>
      <c r="T1013" s="2">
        <f>IF(OR(S1013="",R1013=0),"",ROUND(S1013*R1013,2))</f>
        <v/>
      </c>
      <c r="U1013" s="2" t="inlineStr"/>
    </row>
    <row r="1014">
      <c r="A1014" s="2" t="inlineStr">
        <is>
          <t>R</t>
        </is>
      </c>
      <c r="B1014" s="2" t="inlineStr">
        <is>
          <t>AUDIO-VISUAL SYSTEM</t>
        </is>
      </c>
      <c r="C1014" s="2" t="inlineStr">
        <is>
          <t>A</t>
        </is>
      </c>
      <c r="D1014" s="2" t="inlineStr">
        <is>
          <t>Ref. SP1, 6" Ceiling speaker 30W to TH2</t>
        </is>
      </c>
      <c r="E1014" s="2" t="inlineStr">
        <is>
          <t>No</t>
        </is>
      </c>
      <c r="F1014" s="2" t="n">
        <v>0</v>
      </c>
      <c r="G1014" s="2" t="n">
        <v>0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16</v>
      </c>
      <c r="O1014" s="2" t="n">
        <v>0</v>
      </c>
      <c r="P1014" s="2" t="n">
        <v>0</v>
      </c>
      <c r="Q1014" s="2" t="n">
        <v>16</v>
      </c>
      <c r="R1014" s="2" t="n">
        <v>16</v>
      </c>
      <c r="S1014" s="2" t="n"/>
      <c r="T1014" s="2">
        <f>IF(OR(S1014="",R1014=0),"",ROUND(S1014*R1014,2))</f>
        <v/>
      </c>
      <c r="U1014" s="2" t="inlineStr"/>
    </row>
    <row r="1015">
      <c r="A1015" s="2" t="inlineStr">
        <is>
          <t>R</t>
        </is>
      </c>
      <c r="B1015" s="2" t="inlineStr">
        <is>
          <t>AUDIO-VISUAL SYSTEM</t>
        </is>
      </c>
      <c r="C1015" s="2" t="inlineStr">
        <is>
          <t>A</t>
        </is>
      </c>
      <c r="D1015" s="2" t="inlineStr">
        <is>
          <t>Ref. SP1, 6" Ceiling speaker 30W to TH1</t>
        </is>
      </c>
      <c r="E1015" s="2" t="inlineStr">
        <is>
          <t>No</t>
        </is>
      </c>
      <c r="F1015" s="2" t="n">
        <v>0</v>
      </c>
      <c r="G1015" s="2" t="n">
        <v>0</v>
      </c>
      <c r="H1015" s="2" t="n">
        <v>0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  <c r="N1015" s="2" t="n">
        <v>16</v>
      </c>
      <c r="O1015" s="2" t="n">
        <v>0</v>
      </c>
      <c r="P1015" s="2" t="n">
        <v>0</v>
      </c>
      <c r="Q1015" s="2" t="n">
        <v>16</v>
      </c>
      <c r="R1015" s="2" t="n">
        <v>16</v>
      </c>
      <c r="S1015" s="2" t="n"/>
      <c r="T1015" s="2">
        <f>IF(OR(S1015="",R1015=0),"",ROUND(S1015*R1015,2))</f>
        <v/>
      </c>
      <c r="U1015" s="2" t="inlineStr"/>
    </row>
    <row r="1016">
      <c r="A1016" s="2" t="inlineStr">
        <is>
          <t>R</t>
        </is>
      </c>
      <c r="B1016" s="2" t="inlineStr">
        <is>
          <t>AUDIO-VISUAL SYSTEM</t>
        </is>
      </c>
      <c r="C1016" s="2" t="inlineStr">
        <is>
          <t>B</t>
        </is>
      </c>
      <c r="D1016" s="2" t="inlineStr">
        <is>
          <t>Ref. SP2, Wall mounted speaker with tiltable bracket 30W, to TH2</t>
        </is>
      </c>
      <c r="E1016" s="2" t="inlineStr">
        <is>
          <t>No</t>
        </is>
      </c>
      <c r="F1016" s="2" t="n">
        <v>0</v>
      </c>
      <c r="G1016" s="2" t="n">
        <v>0</v>
      </c>
      <c r="H1016" s="2" t="n">
        <v>0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6</v>
      </c>
      <c r="O1016" s="2" t="n">
        <v>0</v>
      </c>
      <c r="P1016" s="2" t="n">
        <v>0</v>
      </c>
      <c r="Q1016" s="2" t="n">
        <v>6</v>
      </c>
      <c r="R1016" s="2" t="n">
        <v>6</v>
      </c>
      <c r="S1016" s="2" t="n"/>
      <c r="T1016" s="2">
        <f>IF(OR(S1016="",R1016=0),"",ROUND(S1016*R1016,2))</f>
        <v/>
      </c>
      <c r="U1016" s="2" t="inlineStr"/>
    </row>
    <row r="1017">
      <c r="A1017" s="2" t="inlineStr">
        <is>
          <t>R</t>
        </is>
      </c>
      <c r="B1017" s="2" t="inlineStr">
        <is>
          <t>AUDIO-VISUAL SYSTEM</t>
        </is>
      </c>
      <c r="C1017" s="2" t="inlineStr">
        <is>
          <t>B</t>
        </is>
      </c>
      <c r="D1017" s="2" t="inlineStr">
        <is>
          <t>Ref. SP2, Wall mounted speaker with tiltable 30W to TH1</t>
        </is>
      </c>
      <c r="E1017" s="2" t="inlineStr">
        <is>
          <t>No</t>
        </is>
      </c>
      <c r="F1017" s="2" t="n">
        <v>0</v>
      </c>
      <c r="G1017" s="2" t="n">
        <v>0</v>
      </c>
      <c r="H1017" s="2" t="n">
        <v>0</v>
      </c>
      <c r="I1017" s="2" t="n">
        <v>0</v>
      </c>
      <c r="J1017" s="2" t="n">
        <v>0</v>
      </c>
      <c r="K1017" s="2" t="n">
        <v>0</v>
      </c>
      <c r="L1017" s="2" t="n">
        <v>0</v>
      </c>
      <c r="M1017" s="2" t="n">
        <v>0</v>
      </c>
      <c r="N1017" s="2" t="n">
        <v>6</v>
      </c>
      <c r="O1017" s="2" t="n">
        <v>0</v>
      </c>
      <c r="P1017" s="2" t="n">
        <v>0</v>
      </c>
      <c r="Q1017" s="2" t="n">
        <v>6</v>
      </c>
      <c r="R1017" s="2" t="n">
        <v>6</v>
      </c>
      <c r="S1017" s="2" t="n"/>
      <c r="T1017" s="2">
        <f>IF(OR(S1017="",R1017=0),"",ROUND(S1017*R1017,2))</f>
        <v/>
      </c>
      <c r="U1017" s="2" t="inlineStr"/>
    </row>
    <row r="1018">
      <c r="A1018" s="2" t="inlineStr">
        <is>
          <t>R</t>
        </is>
      </c>
      <c r="B1018" s="2" t="inlineStr">
        <is>
          <t>AUDIO-VISUAL SYSTEM</t>
        </is>
      </c>
      <c r="C1018" s="2" t="inlineStr">
        <is>
          <t>B</t>
        </is>
      </c>
      <c r="D1018" s="2" t="inlineStr">
        <is>
          <t>Ceiling mounted subwoofer 50W to TH1</t>
        </is>
      </c>
      <c r="E1018" s="2" t="inlineStr">
        <is>
          <t>No</t>
        </is>
      </c>
      <c r="F1018" s="2" t="n">
        <v>0</v>
      </c>
      <c r="G1018" s="2" t="n">
        <v>0</v>
      </c>
      <c r="H1018" s="2" t="n">
        <v>0</v>
      </c>
      <c r="I1018" s="2" t="n">
        <v>0</v>
      </c>
      <c r="J1018" s="2" t="n">
        <v>0</v>
      </c>
      <c r="K1018" s="2" t="n">
        <v>0</v>
      </c>
      <c r="L1018" s="2" t="n">
        <v>0</v>
      </c>
      <c r="M1018" s="2" t="n">
        <v>0</v>
      </c>
      <c r="N1018" s="2" t="n">
        <v>4</v>
      </c>
      <c r="O1018" s="2" t="n">
        <v>0</v>
      </c>
      <c r="P1018" s="2" t="n">
        <v>0</v>
      </c>
      <c r="Q1018" s="2" t="n">
        <v>4</v>
      </c>
      <c r="R1018" s="2" t="n">
        <v>4</v>
      </c>
      <c r="S1018" s="2" t="n"/>
      <c r="T1018" s="2">
        <f>IF(OR(S1018="",R1018=0),"",ROUND(S1018*R1018,2))</f>
        <v/>
      </c>
      <c r="U1018" s="2" t="inlineStr"/>
    </row>
    <row r="1019">
      <c r="A1019" s="2" t="inlineStr">
        <is>
          <t>R</t>
        </is>
      </c>
      <c r="B1019" s="2" t="inlineStr">
        <is>
          <t>AUDIO-VISUAL SYSTEM</t>
        </is>
      </c>
      <c r="C1019" s="2" t="inlineStr">
        <is>
          <t>C</t>
        </is>
      </c>
      <c r="D1019" s="2" t="inlineStr">
        <is>
          <t>Ceiling mounted subwoofer 50W to TH2</t>
        </is>
      </c>
      <c r="E1019" s="2" t="inlineStr">
        <is>
          <t>No</t>
        </is>
      </c>
      <c r="F1019" s="2" t="n">
        <v>0</v>
      </c>
      <c r="G1019" s="2" t="n">
        <v>0</v>
      </c>
      <c r="H1019" s="2" t="n">
        <v>0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0</v>
      </c>
      <c r="N1019" s="2" t="n">
        <v>4</v>
      </c>
      <c r="O1019" s="2" t="n">
        <v>0</v>
      </c>
      <c r="P1019" s="2" t="n">
        <v>0</v>
      </c>
      <c r="Q1019" s="2" t="n">
        <v>4</v>
      </c>
      <c r="R1019" s="2" t="n">
        <v>4</v>
      </c>
      <c r="S1019" s="2" t="n"/>
      <c r="T1019" s="2">
        <f>IF(OR(S1019="",R1019=0),"",ROUND(S1019*R1019,2))</f>
        <v/>
      </c>
      <c r="U1019" s="2" t="inlineStr"/>
    </row>
    <row r="1020">
      <c r="A1020" s="2" t="inlineStr">
        <is>
          <t>R</t>
        </is>
      </c>
      <c r="B1020" s="2" t="inlineStr">
        <is>
          <t>AUDIO-VISUAL SYSTEM</t>
        </is>
      </c>
      <c r="C1020" s="2" t="inlineStr">
        <is>
          <t>C</t>
        </is>
      </c>
      <c r="D1020" s="2" t="inlineStr">
        <is>
          <t>Active speaker with amplication for program reinforcement to TH3</t>
        </is>
      </c>
      <c r="E1020" s="2" t="inlineStr">
        <is>
          <t>No</t>
        </is>
      </c>
      <c r="F1020" s="2" t="n">
        <v>0</v>
      </c>
      <c r="G1020" s="2" t="n">
        <v>0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4</v>
      </c>
      <c r="O1020" s="2" t="n">
        <v>0</v>
      </c>
      <c r="P1020" s="2" t="n">
        <v>0</v>
      </c>
      <c r="Q1020" s="2" t="n">
        <v>4</v>
      </c>
      <c r="R1020" s="2" t="n">
        <v>4</v>
      </c>
      <c r="S1020" s="2" t="n"/>
      <c r="T1020" s="2">
        <f>IF(OR(S1020="",R1020=0),"",ROUND(S1020*R1020,2))</f>
        <v/>
      </c>
      <c r="U1020" s="2" t="inlineStr"/>
    </row>
    <row r="1021">
      <c r="A1021" s="2" t="inlineStr">
        <is>
          <t>R</t>
        </is>
      </c>
      <c r="B1021" s="2" t="inlineStr">
        <is>
          <t>AUDIO-VISUAL SYSTEM</t>
        </is>
      </c>
      <c r="C1021" s="2" t="inlineStr">
        <is>
          <t>D</t>
        </is>
      </c>
      <c r="D1021" s="2" t="inlineStr">
        <is>
          <t>Active speaker with amplication for program reinforcement to TH2</t>
        </is>
      </c>
      <c r="E1021" s="2" t="inlineStr">
        <is>
          <t>No</t>
        </is>
      </c>
      <c r="F1021" s="2" t="n">
        <v>0</v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4</v>
      </c>
      <c r="O1021" s="2" t="n">
        <v>0</v>
      </c>
      <c r="P1021" s="2" t="n">
        <v>0</v>
      </c>
      <c r="Q1021" s="2" t="n">
        <v>4</v>
      </c>
      <c r="R1021" s="2" t="n">
        <v>4</v>
      </c>
      <c r="S1021" s="2" t="n"/>
      <c r="T1021" s="2">
        <f>IF(OR(S1021="",R1021=0),"",ROUND(S1021*R1021,2))</f>
        <v/>
      </c>
      <c r="U1021" s="2" t="inlineStr"/>
    </row>
    <row r="1022">
      <c r="A1022" s="2" t="inlineStr">
        <is>
          <t>R</t>
        </is>
      </c>
      <c r="B1022" s="2" t="inlineStr">
        <is>
          <t>AUDIO-VISUAL SYSTEM</t>
        </is>
      </c>
      <c r="C1022" s="2" t="inlineStr">
        <is>
          <t>D</t>
        </is>
      </c>
      <c r="D1022" s="2" t="inlineStr">
        <is>
          <t>7" wired touch panel with multi zone volume and source control to TH1</t>
        </is>
      </c>
      <c r="E1022" s="2" t="inlineStr">
        <is>
          <t>No</t>
        </is>
      </c>
      <c r="F1022" s="2" t="n">
        <v>0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3</v>
      </c>
      <c r="O1022" s="2" t="n">
        <v>0</v>
      </c>
      <c r="P1022" s="2" t="n">
        <v>0</v>
      </c>
      <c r="Q1022" s="2" t="n">
        <v>3</v>
      </c>
      <c r="R1022" s="2" t="n">
        <v>3</v>
      </c>
      <c r="S1022" s="2" t="n"/>
      <c r="T1022" s="2">
        <f>IF(OR(S1022="",R1022=0),"",ROUND(S1022*R1022,2))</f>
        <v/>
      </c>
      <c r="U1022" s="2" t="inlineStr"/>
    </row>
    <row r="1023">
      <c r="A1023" s="2" t="inlineStr">
        <is>
          <t>R</t>
        </is>
      </c>
      <c r="B1023" s="2" t="inlineStr">
        <is>
          <t>AUDIO-VISUAL SYSTEM</t>
        </is>
      </c>
      <c r="C1023" s="2" t="inlineStr">
        <is>
          <t>E</t>
        </is>
      </c>
      <c r="D1023" s="2" t="inlineStr">
        <is>
          <t>7" wired touch panel with multi zone volume and source control to TH2</t>
        </is>
      </c>
      <c r="E1023" s="2" t="inlineStr">
        <is>
          <t>No</t>
        </is>
      </c>
      <c r="F1023" s="2" t="n">
        <v>0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3</v>
      </c>
      <c r="O1023" s="2" t="n">
        <v>0</v>
      </c>
      <c r="P1023" s="2" t="n">
        <v>0</v>
      </c>
      <c r="Q1023" s="2" t="n">
        <v>3</v>
      </c>
      <c r="R1023" s="2" t="n">
        <v>3</v>
      </c>
      <c r="S1023" s="2" t="n"/>
      <c r="T1023" s="2">
        <f>IF(OR(S1023="",R1023=0),"",ROUND(S1023*R1023,2))</f>
        <v/>
      </c>
      <c r="U1023" s="2" t="inlineStr"/>
    </row>
    <row r="1024">
      <c r="A1024" s="2" t="inlineStr">
        <is>
          <t>R</t>
        </is>
      </c>
      <c r="B1024" s="2" t="inlineStr">
        <is>
          <t>AUDIO-VISUAL SYSTEM</t>
        </is>
      </c>
      <c r="C1024" s="2" t="inlineStr">
        <is>
          <t>E</t>
        </is>
      </c>
      <c r="D1024" s="2" t="inlineStr">
        <is>
          <t>Bluetooth XLR wall plate for local source connectivity (with bluetooth and analogue audio to Dante interface)</t>
        </is>
      </c>
      <c r="E1024" s="2" t="inlineStr">
        <is>
          <t>No</t>
        </is>
      </c>
      <c r="F1024" s="2" t="n">
        <v>0</v>
      </c>
      <c r="G1024" s="2" t="n">
        <v>0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3</v>
      </c>
      <c r="O1024" s="2" t="n">
        <v>0</v>
      </c>
      <c r="P1024" s="2" t="n">
        <v>0</v>
      </c>
      <c r="Q1024" s="2" t="n">
        <v>3</v>
      </c>
      <c r="R1024" s="2" t="n">
        <v>3</v>
      </c>
      <c r="S1024" s="2" t="n"/>
      <c r="T1024" s="2">
        <f>IF(OR(S1024="",R1024=0),"",ROUND(S1024*R1024,2))</f>
        <v/>
      </c>
      <c r="U1024" s="2" t="inlineStr"/>
    </row>
    <row r="1025">
      <c r="A1025" s="2" t="inlineStr">
        <is>
          <t>R</t>
        </is>
      </c>
      <c r="B1025" s="2" t="inlineStr">
        <is>
          <t>AUDIO-VISUAL SYSTEM</t>
        </is>
      </c>
      <c r="C1025" s="2" t="inlineStr">
        <is>
          <t>F</t>
        </is>
      </c>
      <c r="D1025" s="2" t="inlineStr">
        <is>
          <t>Bluetooth XLR wall plate for local source connectivity (with bluetooth and analogue audio to Dante interface)</t>
        </is>
      </c>
      <c r="E1025" s="2" t="inlineStr">
        <is>
          <t>No</t>
        </is>
      </c>
      <c r="F1025" s="2" t="n">
        <v>0</v>
      </c>
      <c r="G1025" s="2" t="n">
        <v>0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3</v>
      </c>
      <c r="O1025" s="2" t="n">
        <v>0</v>
      </c>
      <c r="P1025" s="2" t="n">
        <v>0</v>
      </c>
      <c r="Q1025" s="2" t="n">
        <v>3</v>
      </c>
      <c r="R1025" s="2" t="n">
        <v>3</v>
      </c>
      <c r="S1025" s="2" t="n"/>
      <c r="T1025" s="2">
        <f>IF(OR(S1025="",R1025=0),"",ROUND(S1025*R1025,2))</f>
        <v/>
      </c>
      <c r="U1025" s="2" t="inlineStr"/>
    </row>
    <row r="1026">
      <c r="A1026" s="2" t="inlineStr">
        <is>
          <t>R</t>
        </is>
      </c>
      <c r="B1026" s="2" t="inlineStr">
        <is>
          <t>AUDIO-VISUAL SYSTEM</t>
        </is>
      </c>
      <c r="C1026" s="2" t="inlineStr">
        <is>
          <t>F</t>
        </is>
      </c>
      <c r="D1026" s="2" t="inlineStr">
        <is>
          <t>AV Wall plate with apple pay, bluetooth connectivity, XLR audio pin &amp; ccromecast under TV</t>
        </is>
      </c>
      <c r="E1026" s="2" t="inlineStr">
        <is>
          <t>No</t>
        </is>
      </c>
      <c r="F1026" s="2" t="n">
        <v>0</v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1</v>
      </c>
      <c r="O1026" s="2" t="n">
        <v>0</v>
      </c>
      <c r="P1026" s="2" t="n">
        <v>0</v>
      </c>
      <c r="Q1026" s="2" t="n">
        <v>1</v>
      </c>
      <c r="R1026" s="2" t="n">
        <v>1</v>
      </c>
      <c r="S1026" s="2" t="n"/>
      <c r="T1026" s="2">
        <f>IF(OR(S1026="",R1026=0),"",ROUND(S1026*R1026,2))</f>
        <v/>
      </c>
      <c r="U1026" s="2" t="inlineStr"/>
    </row>
    <row r="1027">
      <c r="A1027" s="2" t="inlineStr">
        <is>
          <t>R</t>
        </is>
      </c>
      <c r="B1027" s="2" t="inlineStr">
        <is>
          <t>AUDIO-VISUAL SYSTEM</t>
        </is>
      </c>
      <c r="C1027" s="2" t="inlineStr">
        <is>
          <t>G</t>
        </is>
      </c>
      <c r="D1027" s="2" t="inlineStr">
        <is>
          <t>AV Wall plate with apple pay, bluetooth connectivity, XLR audio pin &amp; ccromecast under TV</t>
        </is>
      </c>
      <c r="E1027" s="2" t="inlineStr">
        <is>
          <t>No</t>
        </is>
      </c>
      <c r="F1027" s="2" t="n">
        <v>0</v>
      </c>
      <c r="G1027" s="2" t="n">
        <v>0</v>
      </c>
      <c r="H1027" s="2" t="n">
        <v>0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1</v>
      </c>
      <c r="O1027" s="2" t="n">
        <v>0</v>
      </c>
      <c r="P1027" s="2" t="n">
        <v>0</v>
      </c>
      <c r="Q1027" s="2" t="n">
        <v>1</v>
      </c>
      <c r="R1027" s="2" t="n">
        <v>1</v>
      </c>
      <c r="S1027" s="2" t="n"/>
      <c r="T1027" s="2">
        <f>IF(OR(S1027="",R1027=0),"",ROUND(S1027*R1027,2))</f>
        <v/>
      </c>
      <c r="U1027" s="2" t="inlineStr"/>
    </row>
    <row r="1028">
      <c r="A1028" s="2" t="inlineStr">
        <is>
          <t>R</t>
        </is>
      </c>
      <c r="B1028" s="2" t="inlineStr">
        <is>
          <t>AUDIO-VISUAL SYSTEM</t>
        </is>
      </c>
      <c r="C1028" s="2" t="inlineStr">
        <is>
          <t>H</t>
        </is>
      </c>
      <c r="D1028" s="2" t="inlineStr">
        <is>
          <t>65" Television display (Bezel-less display unit) with IP to HDMI decoder</t>
        </is>
      </c>
      <c r="E1028" s="2" t="inlineStr">
        <is>
          <t>No</t>
        </is>
      </c>
      <c r="F1028" s="2" t="n">
        <v>0</v>
      </c>
      <c r="G1028" s="2" t="n">
        <v>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1</v>
      </c>
      <c r="O1028" s="2" t="n">
        <v>0</v>
      </c>
      <c r="P1028" s="2" t="n">
        <v>0</v>
      </c>
      <c r="Q1028" s="2" t="n">
        <v>1</v>
      </c>
      <c r="R1028" s="2" t="n">
        <v>1</v>
      </c>
      <c r="S1028" s="2" t="n"/>
      <c r="T1028" s="2">
        <f>IF(OR(S1028="",R1028=0),"",ROUND(S1028*R1028,2))</f>
        <v/>
      </c>
      <c r="U1028" s="2" t="inlineStr"/>
    </row>
    <row r="1029">
      <c r="A1029" s="2" t="inlineStr">
        <is>
          <t>R</t>
        </is>
      </c>
      <c r="B1029" s="2" t="inlineStr">
        <is>
          <t>AUDIO-VISUAL SYSTEM</t>
        </is>
      </c>
      <c r="C1029" s="2" t="inlineStr">
        <is>
          <t>J</t>
        </is>
      </c>
      <c r="D1029" s="2" t="inlineStr">
        <is>
          <t>65" Television display (Bezel-less display unit) with IP to HDMI decoder</t>
        </is>
      </c>
      <c r="E1029" s="2" t="inlineStr">
        <is>
          <t>No</t>
        </is>
      </c>
      <c r="F1029" s="2" t="n">
        <v>0</v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1</v>
      </c>
      <c r="O1029" s="2" t="n">
        <v>0</v>
      </c>
      <c r="P1029" s="2" t="n">
        <v>0</v>
      </c>
      <c r="Q1029" s="2" t="n">
        <v>1</v>
      </c>
      <c r="R1029" s="2" t="n">
        <v>1</v>
      </c>
      <c r="S1029" s="2" t="n"/>
      <c r="T1029" s="2">
        <f>IF(OR(S1029="",R1029=0),"",ROUND(S1029*R1029,2))</f>
        <v/>
      </c>
      <c r="U1029" s="2" t="inlineStr"/>
    </row>
    <row r="1030">
      <c r="A1030" s="2" t="inlineStr">
        <is>
          <t>R</t>
        </is>
      </c>
      <c r="B1030" s="2" t="inlineStr">
        <is>
          <t>AUDIO-VISUAL SYSTEM</t>
        </is>
      </c>
      <c r="C1030" s="2" t="inlineStr">
        <is>
          <t>J</t>
        </is>
      </c>
      <c r="D1030" s="2" t="inlineStr">
        <is>
          <t>55" Television display (Bezel-less display unit) with IP to HDMI decoder</t>
        </is>
      </c>
      <c r="E1030" s="2" t="inlineStr">
        <is>
          <t>No</t>
        </is>
      </c>
      <c r="F1030" s="2" t="n">
        <v>0</v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1</v>
      </c>
      <c r="O1030" s="2" t="n">
        <v>0</v>
      </c>
      <c r="P1030" s="2" t="n">
        <v>0</v>
      </c>
      <c r="Q1030" s="2" t="n">
        <v>1</v>
      </c>
      <c r="R1030" s="2" t="n">
        <v>1</v>
      </c>
      <c r="S1030" s="2" t="n"/>
      <c r="T1030" s="2">
        <f>IF(OR(S1030="",R1030=0),"",ROUND(S1030*R1030,2))</f>
        <v/>
      </c>
      <c r="U1030" s="2" t="inlineStr"/>
    </row>
    <row r="1031">
      <c r="A1031" s="2" t="inlineStr">
        <is>
          <t>R</t>
        </is>
      </c>
      <c r="B1031" s="2" t="inlineStr">
        <is>
          <t>AUDIO-VISUAL SYSTEM</t>
        </is>
      </c>
      <c r="C1031" s="2" t="inlineStr">
        <is>
          <t>K</t>
        </is>
      </c>
      <c r="D1031" s="2" t="inlineStr">
        <is>
          <t>55" Television display (Bezel-less display unit) with IP to HDMI decoder</t>
        </is>
      </c>
      <c r="E1031" s="2" t="inlineStr">
        <is>
          <t>No</t>
        </is>
      </c>
      <c r="F1031" s="2" t="n">
        <v>0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1</v>
      </c>
      <c r="O1031" s="2" t="n">
        <v>0</v>
      </c>
      <c r="P1031" s="2" t="n">
        <v>0</v>
      </c>
      <c r="Q1031" s="2" t="n">
        <v>1</v>
      </c>
      <c r="R1031" s="2" t="n">
        <v>1</v>
      </c>
      <c r="S1031" s="2" t="n"/>
      <c r="T1031" s="2">
        <f>IF(OR(S1031="",R1031=0),"",ROUND(S1031*R1031,2))</f>
        <v/>
      </c>
      <c r="U1031" s="2" t="inlineStr"/>
    </row>
    <row r="1032">
      <c r="A1032" s="2" t="inlineStr">
        <is>
          <t>R</t>
        </is>
      </c>
      <c r="B1032" s="2" t="inlineStr">
        <is>
          <t>BOUNDARY WALLS</t>
        </is>
      </c>
      <c r="C1032" s="2" t="inlineStr">
        <is>
          <t>A</t>
        </is>
      </c>
      <c r="D1032" s="2" t="inlineStr">
        <is>
          <t>Boundary Wall, 200mm Hollow Blockwall (1375kg/m³), 1800mm H</t>
        </is>
      </c>
      <c r="E1032" s="2" t="inlineStr">
        <is>
          <t>m</t>
        </is>
      </c>
      <c r="F1032" s="2" t="n">
        <v>0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6118</v>
      </c>
      <c r="Q1032" s="2" t="n">
        <v>0</v>
      </c>
      <c r="R1032" s="2" t="n">
        <v>6118</v>
      </c>
      <c r="S1032" s="2" t="n"/>
      <c r="T1032" s="2">
        <f>IF(OR(S1032="",R1032=0),"",ROUND(S1032*R1032,2))</f>
        <v/>
      </c>
      <c r="U1032" s="2" t="inlineStr"/>
    </row>
    <row r="1033">
      <c r="A1033" s="2" t="inlineStr">
        <is>
          <t>R</t>
        </is>
      </c>
      <c r="B1033" s="2" t="inlineStr">
        <is>
          <t>BOUNDARY WALLS</t>
        </is>
      </c>
      <c r="C1033" s="2" t="inlineStr">
        <is>
          <t>B</t>
        </is>
      </c>
      <c r="D1033" s="2" t="inlineStr">
        <is>
          <t>Boundary Wall, 200mm Hollow Blockwall (1375kg/m³), 3500mm H</t>
        </is>
      </c>
      <c r="E1033" s="2" t="inlineStr">
        <is>
          <t>m</t>
        </is>
      </c>
      <c r="F1033" s="2" t="n">
        <v>0</v>
      </c>
      <c r="G1033" s="2" t="n">
        <v>0</v>
      </c>
      <c r="H1033" s="2" t="n">
        <v>0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326</v>
      </c>
      <c r="Q1033" s="2" t="n">
        <v>0</v>
      </c>
      <c r="R1033" s="2" t="n">
        <v>326</v>
      </c>
      <c r="S1033" s="2" t="n"/>
      <c r="T1033" s="2">
        <f>IF(OR(S1033="",R1033=0),"",ROUND(S1033*R1033,2))</f>
        <v/>
      </c>
      <c r="U1033" s="2" t="inlineStr"/>
    </row>
    <row r="1034">
      <c r="A1034" s="2" t="inlineStr">
        <is>
          <t>R</t>
        </is>
      </c>
      <c r="B1034" s="2" t="inlineStr">
        <is>
          <t>BOUNDARY WALLS</t>
        </is>
      </c>
      <c r="C1034" s="2" t="inlineStr">
        <is>
          <t>C</t>
        </is>
      </c>
      <c r="D1034" s="2" t="inlineStr">
        <is>
          <t>Boundary Wall, 300mm Hollow Blockwall (1850kg/m³), 1800mm H</t>
        </is>
      </c>
      <c r="E1034" s="2" t="inlineStr">
        <is>
          <t>m</t>
        </is>
      </c>
      <c r="F1034" s="2" t="n">
        <v>0</v>
      </c>
      <c r="G1034" s="2" t="n">
        <v>0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592</v>
      </c>
      <c r="Q1034" s="2" t="n">
        <v>0</v>
      </c>
      <c r="R1034" s="2" t="n">
        <v>592</v>
      </c>
      <c r="S1034" s="2" t="n"/>
      <c r="T1034" s="2">
        <f>IF(OR(S1034="",R1034=0),"",ROUND(S1034*R1034,2))</f>
        <v/>
      </c>
      <c r="U1034" s="2" t="inlineStr"/>
    </row>
    <row r="1035">
      <c r="A1035" s="2" t="inlineStr">
        <is>
          <t>R</t>
        </is>
      </c>
      <c r="B1035" s="2" t="inlineStr">
        <is>
          <t>BOUNDARY WALLS</t>
        </is>
      </c>
      <c r="C1035" s="2" t="inlineStr">
        <is>
          <t>D</t>
        </is>
      </c>
      <c r="D1035" s="2" t="inlineStr">
        <is>
          <t>Boundary Wall, 400mm Hollow Blockwall (1850kg/m³), 1800mm H</t>
        </is>
      </c>
      <c r="E1035" s="2" t="inlineStr">
        <is>
          <t>m</t>
        </is>
      </c>
      <c r="F1035" s="2" t="n">
        <v>0</v>
      </c>
      <c r="G1035" s="2" t="n">
        <v>0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242</v>
      </c>
      <c r="Q1035" s="2" t="n">
        <v>0</v>
      </c>
      <c r="R1035" s="2" t="n">
        <v>242</v>
      </c>
      <c r="S1035" s="2" t="n"/>
      <c r="T1035" s="2">
        <f>IF(OR(S1035="",R1035=0),"",ROUND(S1035*R1035,2))</f>
        <v/>
      </c>
      <c r="U1035" s="2" t="inlineStr"/>
    </row>
    <row r="1036">
      <c r="A1036" s="2" t="inlineStr">
        <is>
          <t>R</t>
        </is>
      </c>
      <c r="B1036" s="2" t="inlineStr">
        <is>
          <t>BOUNDARY WALLS</t>
        </is>
      </c>
      <c r="C1036" s="2" t="inlineStr">
        <is>
          <t>E</t>
        </is>
      </c>
      <c r="D1036" s="2" t="inlineStr">
        <is>
          <t>Boundary Wall, 400mm Hollow Blockwall (1850kg/m³), 3500mm H</t>
        </is>
      </c>
      <c r="E1036" s="2" t="inlineStr">
        <is>
          <t>m</t>
        </is>
      </c>
      <c r="F1036" s="2" t="n">
        <v>0</v>
      </c>
      <c r="G1036" s="2" t="n">
        <v>0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19</v>
      </c>
      <c r="Q1036" s="2" t="n">
        <v>0</v>
      </c>
      <c r="R1036" s="2" t="n">
        <v>19</v>
      </c>
      <c r="S1036" s="2" t="n"/>
      <c r="T1036" s="2">
        <f>IF(OR(S1036="",R1036=0),"",ROUND(S1036*R1036,2))</f>
        <v/>
      </c>
      <c r="U1036" s="2" t="inlineStr"/>
    </row>
    <row r="1037">
      <c r="A1037" s="2" t="inlineStr">
        <is>
          <t>R</t>
        </is>
      </c>
      <c r="B1037" s="2" t="inlineStr">
        <is>
          <t>BOUNDARY WALLS</t>
        </is>
      </c>
      <c r="C1037" s="2" t="inlineStr">
        <is>
          <t>F</t>
        </is>
      </c>
      <c r="D1037" s="2" t="inlineStr">
        <is>
          <t>Boundary wall with 1800mm high metal fence, rear side</t>
        </is>
      </c>
      <c r="E1037" s="2" t="inlineStr">
        <is>
          <t>m</t>
        </is>
      </c>
      <c r="F1037" s="2" t="n">
        <v>0</v>
      </c>
      <c r="G1037" s="2" t="n">
        <v>0</v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3463</v>
      </c>
      <c r="Q1037" s="2" t="n">
        <v>0</v>
      </c>
      <c r="R1037" s="2" t="n">
        <v>3463</v>
      </c>
      <c r="S1037" s="2" t="n"/>
      <c r="T1037" s="2">
        <f>IF(OR(S1037="",R1037=0),"",ROUND(S1037*R1037,2))</f>
        <v/>
      </c>
      <c r="U1037" s="2" t="inlineStr"/>
    </row>
    <row r="1038">
      <c r="A1038" s="2" t="inlineStr">
        <is>
          <t>R</t>
        </is>
      </c>
      <c r="B1038" s="2" t="inlineStr">
        <is>
          <t>BOUNDARY WALLS</t>
        </is>
      </c>
      <c r="C1038" s="2" t="inlineStr">
        <is>
          <t>G</t>
        </is>
      </c>
      <c r="D1038" s="2" t="inlineStr">
        <is>
          <t>Metal gate at rear boundary wall, 800mm W</t>
        </is>
      </c>
      <c r="E1038" s="2" t="inlineStr">
        <is>
          <t>No</t>
        </is>
      </c>
      <c r="F1038" s="2" t="n">
        <v>0</v>
      </c>
      <c r="G1038" s="2" t="n">
        <v>0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37</v>
      </c>
      <c r="Q1038" s="2" t="n">
        <v>0</v>
      </c>
      <c r="R1038" s="2" t="n">
        <v>37</v>
      </c>
      <c r="S1038" s="2" t="n"/>
      <c r="T1038" s="2">
        <f>IF(OR(S1038="",R1038=0),"",ROUND(S1038*R1038,2))</f>
        <v/>
      </c>
      <c r="U1038" s="2" t="inlineStr"/>
    </row>
    <row r="1039">
      <c r="A1039" s="2" t="inlineStr">
        <is>
          <t>R</t>
        </is>
      </c>
      <c r="B1039" s="2" t="inlineStr">
        <is>
          <t>BOUNDARY WALLS</t>
        </is>
      </c>
      <c r="C1039" s="2" t="inlineStr">
        <is>
          <t>H</t>
        </is>
      </c>
      <c r="D1039" s="2" t="inlineStr">
        <is>
          <t>Metal gate at rear boundary wall, 1000mm W</t>
        </is>
      </c>
      <c r="E1039" s="2" t="inlineStr">
        <is>
          <t>No</t>
        </is>
      </c>
      <c r="F1039" s="2" t="n">
        <v>0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510</v>
      </c>
      <c r="Q1039" s="2" t="n">
        <v>0</v>
      </c>
      <c r="R1039" s="2" t="n">
        <v>510</v>
      </c>
      <c r="S1039" s="2" t="n"/>
      <c r="T1039" s="2">
        <f>IF(OR(S1039="",R1039=0),"",ROUND(S1039*R1039,2))</f>
        <v/>
      </c>
      <c r="U1039" s="2" t="inlineStr"/>
    </row>
    <row r="1040">
      <c r="A1040" s="2" t="inlineStr">
        <is>
          <t>R</t>
        </is>
      </c>
      <c r="B1040" s="2" t="inlineStr">
        <is>
          <t>DISABLED TOILET ALARM SYSTEM</t>
        </is>
      </c>
      <c r="C1040" s="2" t="inlineStr">
        <is>
          <t>A</t>
        </is>
      </c>
      <c r="D1040" s="2" t="inlineStr">
        <is>
          <t>Pull cord for disabled toilets with reset button</t>
        </is>
      </c>
      <c r="E1040" s="2" t="inlineStr">
        <is>
          <t>No</t>
        </is>
      </c>
      <c r="F1040" s="2" t="n">
        <v>0</v>
      </c>
      <c r="G1040" s="2" t="n">
        <v>0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1</v>
      </c>
      <c r="O1040" s="2" t="n">
        <v>0</v>
      </c>
      <c r="P1040" s="2" t="n">
        <v>0</v>
      </c>
      <c r="Q1040" s="2" t="n">
        <v>1</v>
      </c>
      <c r="R1040" s="2" t="n">
        <v>1</v>
      </c>
      <c r="S1040" s="2" t="n"/>
      <c r="T1040" s="2">
        <f>IF(OR(S1040="",R1040=0),"",ROUND(S1040*R1040,2))</f>
        <v/>
      </c>
      <c r="U1040" s="2" t="inlineStr"/>
    </row>
    <row r="1041">
      <c r="A1041" s="2" t="inlineStr">
        <is>
          <t>R</t>
        </is>
      </c>
      <c r="B1041" s="2" t="inlineStr">
        <is>
          <t>DISABLED TOILET ALARM SYSTEM</t>
        </is>
      </c>
      <c r="C1041" s="2" t="inlineStr">
        <is>
          <t>B</t>
        </is>
      </c>
      <c r="D1041" s="2" t="inlineStr">
        <is>
          <t>Visual annunciator for disabled toilet alarm</t>
        </is>
      </c>
      <c r="E1041" s="2" t="inlineStr">
        <is>
          <t>No</t>
        </is>
      </c>
      <c r="F1041" s="2" t="n">
        <v>0</v>
      </c>
      <c r="G1041" s="2" t="n">
        <v>0</v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1</v>
      </c>
      <c r="O1041" s="2" t="n">
        <v>0</v>
      </c>
      <c r="P1041" s="2" t="n">
        <v>0</v>
      </c>
      <c r="Q1041" s="2" t="n">
        <v>1</v>
      </c>
      <c r="R1041" s="2" t="n">
        <v>1</v>
      </c>
      <c r="S1041" s="2" t="n"/>
      <c r="T1041" s="2">
        <f>IF(OR(S1041="",R1041=0),"",ROUND(S1041*R1041,2))</f>
        <v/>
      </c>
      <c r="U1041" s="2" t="inlineStr"/>
    </row>
    <row r="1042">
      <c r="A1042" s="2" t="inlineStr">
        <is>
          <t>R</t>
        </is>
      </c>
      <c r="B1042" s="2" t="inlineStr">
        <is>
          <t>DISABLED TOILET ALARM SYSTEM</t>
        </is>
      </c>
      <c r="C1042" s="2" t="inlineStr">
        <is>
          <t>C</t>
        </is>
      </c>
      <c r="D1042" s="2" t="inlineStr">
        <is>
          <t>Remote reset button for toilet, W/P</t>
        </is>
      </c>
      <c r="E1042" s="2" t="inlineStr">
        <is>
          <t>No</t>
        </is>
      </c>
      <c r="F1042" s="2" t="n">
        <v>0</v>
      </c>
      <c r="G1042" s="2" t="n">
        <v>0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1</v>
      </c>
      <c r="O1042" s="2" t="n">
        <v>0</v>
      </c>
      <c r="P1042" s="2" t="n">
        <v>0</v>
      </c>
      <c r="Q1042" s="2" t="n">
        <v>1</v>
      </c>
      <c r="R1042" s="2" t="n">
        <v>1</v>
      </c>
      <c r="S1042" s="2" t="n"/>
      <c r="T1042" s="2">
        <f>IF(OR(S1042="",R1042=0),"",ROUND(S1042*R1042,2))</f>
        <v/>
      </c>
      <c r="U1042" s="2" t="inlineStr"/>
    </row>
    <row r="1043">
      <c r="A1043" s="2" t="inlineStr">
        <is>
          <t>R</t>
        </is>
      </c>
      <c r="B1043" s="2" t="inlineStr">
        <is>
          <t>DISABLED TOILET ALARM SYSTEM</t>
        </is>
      </c>
      <c r="C1043" s="2" t="inlineStr">
        <is>
          <t>D</t>
        </is>
      </c>
      <c r="D1043" s="2" t="inlineStr">
        <is>
          <t>Allow for disabled toilet alarm panel</t>
        </is>
      </c>
      <c r="E1043" s="2" t="inlineStr">
        <is>
          <t>No</t>
        </is>
      </c>
      <c r="F1043" s="2" t="n">
        <v>0</v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1</v>
      </c>
      <c r="O1043" s="2" t="n">
        <v>0</v>
      </c>
      <c r="P1043" s="2" t="n">
        <v>0</v>
      </c>
      <c r="Q1043" s="2" t="n">
        <v>1</v>
      </c>
      <c r="R1043" s="2" t="n">
        <v>1</v>
      </c>
      <c r="S1043" s="2" t="n"/>
      <c r="T1043" s="2">
        <f>IF(OR(S1043="",R1043=0),"",ROUND(S1043*R1043,2))</f>
        <v/>
      </c>
      <c r="U1043" s="2" t="inlineStr"/>
    </row>
    <row r="1044">
      <c r="A1044" s="2" t="inlineStr">
        <is>
          <t>R</t>
        </is>
      </c>
      <c r="B1044" s="2" t="inlineStr">
        <is>
          <t>EARTHING SYSTEM</t>
        </is>
      </c>
      <c r="C1044" s="2" t="inlineStr">
        <is>
          <t>A</t>
        </is>
      </c>
      <c r="D1044" s="2" t="inlineStr">
        <is>
          <t>Earth pit with internal looping, copper earth electrode with</t>
        </is>
      </c>
      <c r="E1044" s="2" t="inlineStr">
        <is>
          <t>No</t>
        </is>
      </c>
      <c r="F1044" s="2" t="n">
        <v>4</v>
      </c>
      <c r="G1044" s="2" t="n">
        <v>4</v>
      </c>
      <c r="H1044" s="2" t="n">
        <v>6</v>
      </c>
      <c r="I1044" s="2" t="n">
        <v>6</v>
      </c>
      <c r="J1044" s="2" t="n">
        <v>8</v>
      </c>
      <c r="K1044" s="2" t="n">
        <v>8</v>
      </c>
      <c r="L1044" s="2" t="n">
        <v>1</v>
      </c>
      <c r="M1044" s="2" t="n">
        <v>1</v>
      </c>
      <c r="N1044" s="2" t="n">
        <v>2</v>
      </c>
      <c r="O1044" s="2" t="n">
        <v>1</v>
      </c>
      <c r="P1044" s="2" t="n">
        <v>0</v>
      </c>
      <c r="Q1044" s="2" t="n">
        <v>41</v>
      </c>
      <c r="R1044" s="2" t="n">
        <v>550</v>
      </c>
      <c r="S1044" s="2" t="n"/>
      <c r="T1044" s="2">
        <f>IF(OR(S1044="",R1044=0),"",ROUND(S1044*R1044,2))</f>
        <v/>
      </c>
      <c r="U1044" s="2" t="inlineStr"/>
    </row>
    <row r="1045">
      <c r="A1045" s="2" t="inlineStr">
        <is>
          <t>R</t>
        </is>
      </c>
      <c r="B1045" s="2" t="inlineStr">
        <is>
          <t>EARTHING SYSTEM</t>
        </is>
      </c>
      <c r="C1045" s="2" t="inlineStr">
        <is>
          <t>B</t>
        </is>
      </c>
      <c r="D1045" s="2" t="inlineStr">
        <is>
          <t>1C 150mm2 Earth copper cables in a uPVC  conduit</t>
        </is>
      </c>
      <c r="E1045" s="2" t="inlineStr">
        <is>
          <t>m</t>
        </is>
      </c>
      <c r="F1045" s="2" t="n">
        <v>0</v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20</v>
      </c>
      <c r="O1045" s="2" t="n">
        <v>0</v>
      </c>
      <c r="P1045" s="2" t="n">
        <v>0</v>
      </c>
      <c r="Q1045" s="2" t="n">
        <v>20</v>
      </c>
      <c r="R1045" s="2" t="n">
        <v>20</v>
      </c>
      <c r="S1045" s="2" t="n"/>
      <c r="T1045" s="2">
        <f>IF(OR(S1045="",R1045=0),"",ROUND(S1045*R1045,2))</f>
        <v/>
      </c>
      <c r="U1045" s="2" t="inlineStr"/>
    </row>
    <row r="1046">
      <c r="A1046" s="2" t="inlineStr">
        <is>
          <t>R</t>
        </is>
      </c>
      <c r="B1046" s="2" t="inlineStr">
        <is>
          <t>ELECTRICAL INSTALLATIONS</t>
        </is>
      </c>
      <c r="C1046" s="2" t="inlineStr">
        <is>
          <t>E</t>
        </is>
      </c>
      <c r="D1046" s="2" t="inlineStr">
        <is>
          <t>Capacitor bank, 70kVAR</t>
        </is>
      </c>
      <c r="E1046" s="2" t="inlineStr">
        <is>
          <t>No</t>
        </is>
      </c>
      <c r="F1046" s="2" t="n">
        <v>0</v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1</v>
      </c>
      <c r="O1046" s="2" t="n">
        <v>0</v>
      </c>
      <c r="P1046" s="2" t="n">
        <v>0</v>
      </c>
      <c r="Q1046" s="2" t="n">
        <v>1</v>
      </c>
      <c r="R1046" s="2" t="n">
        <v>1</v>
      </c>
      <c r="S1046" s="2" t="n"/>
      <c r="T1046" s="2">
        <f>IF(OR(S1046="",R1046=0),"",ROUND(S1046*R1046,2))</f>
        <v/>
      </c>
      <c r="U1046" s="2" t="inlineStr"/>
    </row>
    <row r="1047">
      <c r="A1047" s="2" t="inlineStr">
        <is>
          <t>R</t>
        </is>
      </c>
      <c r="B1047" s="2" t="inlineStr">
        <is>
          <t>EXTERNAL WORKS</t>
        </is>
      </c>
      <c r="C1047" s="2" t="inlineStr">
        <is>
          <t>A</t>
        </is>
      </c>
      <c r="D1047" s="2" t="inlineStr">
        <is>
          <t>300x150x80mm thick Concrete Pavers  - Car porch</t>
        </is>
      </c>
      <c r="E1047" s="2" t="inlineStr">
        <is>
          <t>m²</t>
        </is>
      </c>
      <c r="F1047" s="2" t="n">
        <v>125</v>
      </c>
      <c r="G1047" s="2" t="n">
        <v>125</v>
      </c>
      <c r="H1047" s="2" t="n">
        <v>191</v>
      </c>
      <c r="I1047" s="2" t="n">
        <v>191</v>
      </c>
      <c r="J1047" s="2" t="n">
        <v>257</v>
      </c>
      <c r="K1047" s="2" t="n">
        <v>257</v>
      </c>
      <c r="L1047" s="2" t="n">
        <v>39.7</v>
      </c>
      <c r="M1047" s="2" t="n">
        <v>39.7</v>
      </c>
      <c r="N1047" s="2" t="n">
        <v>0</v>
      </c>
      <c r="O1047" s="2" t="n">
        <v>0</v>
      </c>
      <c r="P1047" s="2" t="n">
        <v>0</v>
      </c>
      <c r="Q1047" s="2" t="n">
        <v>1225.4</v>
      </c>
      <c r="R1047" s="2" t="n">
        <v>17654.9</v>
      </c>
      <c r="S1047" s="2" t="n"/>
      <c r="T1047" s="2">
        <f>IF(OR(S1047="",R1047=0),"",ROUND(S1047*R1047,2))</f>
        <v/>
      </c>
      <c r="U1047" s="2" t="inlineStr"/>
    </row>
    <row r="1048">
      <c r="A1048" s="2" t="inlineStr">
        <is>
          <t>R</t>
        </is>
      </c>
      <c r="B1048" s="2" t="inlineStr">
        <is>
          <t>EXTERNAL WORKS</t>
        </is>
      </c>
      <c r="C1048" s="2" t="inlineStr">
        <is>
          <t>B</t>
        </is>
      </c>
      <c r="D1048" s="2" t="inlineStr">
        <is>
          <t>400x150x60mm thick Concrete Pavers - External Paving</t>
        </is>
      </c>
      <c r="E1048" s="2" t="inlineStr">
        <is>
          <t>m²</t>
        </is>
      </c>
      <c r="F1048" s="2" t="n">
        <v>110</v>
      </c>
      <c r="G1048" s="2" t="n">
        <v>110</v>
      </c>
      <c r="H1048" s="2" t="n">
        <v>113</v>
      </c>
      <c r="I1048" s="2" t="n">
        <v>113</v>
      </c>
      <c r="J1048" s="2" t="n">
        <v>135</v>
      </c>
      <c r="K1048" s="2" t="n">
        <v>127</v>
      </c>
      <c r="L1048" s="2" t="n">
        <v>66</v>
      </c>
      <c r="M1048" s="2" t="n">
        <v>64</v>
      </c>
      <c r="N1048" s="2" t="n">
        <v>0</v>
      </c>
      <c r="O1048" s="2" t="n">
        <v>0</v>
      </c>
      <c r="P1048" s="2" t="n">
        <v>0</v>
      </c>
      <c r="Q1048" s="2" t="n">
        <v>838</v>
      </c>
      <c r="R1048" s="2" t="n">
        <v>12985</v>
      </c>
      <c r="S1048" s="2" t="n"/>
      <c r="T1048" s="2">
        <f>IF(OR(S1048="",R1048=0),"",ROUND(S1048*R1048,2))</f>
        <v/>
      </c>
      <c r="U1048" s="2" t="inlineStr"/>
    </row>
    <row r="1049">
      <c r="A1049" s="2" t="inlineStr">
        <is>
          <t>R</t>
        </is>
      </c>
      <c r="B1049" s="2" t="inlineStr">
        <is>
          <t>EXTERNAL WORKS</t>
        </is>
      </c>
      <c r="C1049" s="2" t="inlineStr">
        <is>
          <t>C</t>
        </is>
      </c>
      <c r="D1049" s="2" t="inlineStr">
        <is>
          <t>Concrete kerb including concrete haunching and bedding</t>
        </is>
      </c>
      <c r="E1049" s="2" t="inlineStr">
        <is>
          <t>m</t>
        </is>
      </c>
      <c r="F1049" s="2" t="n">
        <v>81</v>
      </c>
      <c r="G1049" s="2" t="n">
        <v>81</v>
      </c>
      <c r="H1049" s="2" t="n">
        <v>90</v>
      </c>
      <c r="I1049" s="2" t="n">
        <v>90</v>
      </c>
      <c r="J1049" s="2" t="n">
        <v>103</v>
      </c>
      <c r="K1049" s="2" t="n">
        <v>103</v>
      </c>
      <c r="L1049" s="2" t="n">
        <v>57</v>
      </c>
      <c r="M1049" s="2" t="n">
        <v>57</v>
      </c>
      <c r="N1049" s="2" t="n">
        <v>0</v>
      </c>
      <c r="O1049" s="2" t="n">
        <v>0</v>
      </c>
      <c r="P1049" s="2" t="n">
        <v>0</v>
      </c>
      <c r="Q1049" s="2" t="n">
        <v>662</v>
      </c>
      <c r="R1049" s="2" t="n">
        <v>10264</v>
      </c>
      <c r="S1049" s="2" t="n"/>
      <c r="T1049" s="2">
        <f>IF(OR(S1049="",R1049=0),"",ROUND(S1049*R1049,2))</f>
        <v/>
      </c>
      <c r="U1049" s="2" t="inlineStr"/>
    </row>
    <row r="1050">
      <c r="A1050" s="2" t="inlineStr">
        <is>
          <t>R</t>
        </is>
      </c>
      <c r="B1050" s="2" t="inlineStr">
        <is>
          <t>EXTERNAL WORKS</t>
        </is>
      </c>
      <c r="C1050" s="2" t="inlineStr">
        <is>
          <t>D</t>
        </is>
      </c>
      <c r="D1050" s="2" t="inlineStr">
        <is>
          <t>25x75mm Rectangular box aluminum fence, overall ht=1950mm</t>
        </is>
      </c>
      <c r="E1050" s="2" t="inlineStr">
        <is>
          <t>m</t>
        </is>
      </c>
      <c r="F1050" s="2" t="n">
        <v>11</v>
      </c>
      <c r="G1050" s="2" t="n">
        <v>11</v>
      </c>
      <c r="H1050" s="2" t="n">
        <v>9</v>
      </c>
      <c r="I1050" s="2" t="n">
        <v>9</v>
      </c>
      <c r="J1050" s="2" t="n">
        <v>9</v>
      </c>
      <c r="K1050" s="2" t="n">
        <v>9</v>
      </c>
      <c r="L1050" s="2" t="n">
        <v>4</v>
      </c>
      <c r="M1050" s="2" t="n">
        <v>4</v>
      </c>
      <c r="N1050" s="2" t="n">
        <v>0</v>
      </c>
      <c r="O1050" s="2" t="n">
        <v>0</v>
      </c>
      <c r="P1050" s="2" t="n">
        <v>0</v>
      </c>
      <c r="Q1050" s="2" t="n">
        <v>66</v>
      </c>
      <c r="R1050" s="2" t="n">
        <v>1050</v>
      </c>
      <c r="S1050" s="2" t="n"/>
      <c r="T1050" s="2">
        <f>IF(OR(S1050="",R1050=0),"",ROUND(S1050*R1050,2))</f>
        <v/>
      </c>
      <c r="U1050" s="2" t="inlineStr"/>
    </row>
    <row r="1051">
      <c r="A1051" s="2" t="inlineStr">
        <is>
          <t>R</t>
        </is>
      </c>
      <c r="B1051" s="2" t="inlineStr">
        <is>
          <t>EXTERNAL WORKS</t>
        </is>
      </c>
      <c r="C1051" s="2" t="inlineStr">
        <is>
          <t>E</t>
        </is>
      </c>
      <c r="D1051" s="2" t="inlineStr">
        <is>
          <t>Ref. AL04, Single leaf powdered coated fence door, size 1000mm W x 1950mm H</t>
        </is>
      </c>
      <c r="E1051" s="2" t="inlineStr">
        <is>
          <t>No</t>
        </is>
      </c>
      <c r="F1051" s="2" t="n">
        <v>2</v>
      </c>
      <c r="G1051" s="2" t="n">
        <v>2</v>
      </c>
      <c r="H1051" s="2" t="n">
        <v>2</v>
      </c>
      <c r="I1051" s="2" t="n">
        <v>2</v>
      </c>
      <c r="J1051" s="2" t="n">
        <v>2</v>
      </c>
      <c r="K1051" s="2" t="n">
        <v>2</v>
      </c>
      <c r="L1051" s="2" t="n">
        <v>0</v>
      </c>
      <c r="M1051" s="2" t="n">
        <v>0</v>
      </c>
      <c r="N1051" s="2" t="n">
        <v>0</v>
      </c>
      <c r="O1051" s="2" t="n">
        <v>0</v>
      </c>
      <c r="P1051" s="2" t="n">
        <v>0</v>
      </c>
      <c r="Q1051" s="2" t="n">
        <v>12</v>
      </c>
      <c r="R1051" s="2" t="n">
        <v>184</v>
      </c>
      <c r="S1051" s="2" t="n"/>
      <c r="T1051" s="2">
        <f>IF(OR(S1051="",R1051=0),"",ROUND(S1051*R1051,2))</f>
        <v/>
      </c>
      <c r="U1051" s="2" t="inlineStr"/>
    </row>
    <row r="1052">
      <c r="A1052" s="2" t="inlineStr">
        <is>
          <t>R</t>
        </is>
      </c>
      <c r="B1052" s="2" t="inlineStr">
        <is>
          <t>EXTERNAL WORKS</t>
        </is>
      </c>
      <c r="C1052" s="2" t="inlineStr">
        <is>
          <t>F</t>
        </is>
      </c>
      <c r="D1052" s="2" t="inlineStr">
        <is>
          <t>Ref. AL02, Single leaf powdered coated fence door, size 1000mm W x 1950mm H</t>
        </is>
      </c>
      <c r="E1052" s="2" t="inlineStr">
        <is>
          <t>No</t>
        </is>
      </c>
      <c r="F1052" s="2" t="n">
        <v>0</v>
      </c>
      <c r="G1052" s="2" t="n">
        <v>0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1</v>
      </c>
      <c r="M1052" s="2" t="n">
        <v>1</v>
      </c>
      <c r="N1052" s="2" t="n">
        <v>0</v>
      </c>
      <c r="O1052" s="2" t="n">
        <v>0</v>
      </c>
      <c r="P1052" s="2" t="n">
        <v>0</v>
      </c>
      <c r="Q1052" s="2" t="n">
        <v>2</v>
      </c>
      <c r="R1052" s="2" t="n">
        <v>37</v>
      </c>
      <c r="S1052" s="2" t="n"/>
      <c r="T1052" s="2">
        <f>IF(OR(S1052="",R1052=0),"",ROUND(S1052*R1052,2))</f>
        <v/>
      </c>
      <c r="U1052" s="2" t="inlineStr"/>
    </row>
    <row r="1053">
      <c r="A1053" s="2" t="inlineStr">
        <is>
          <t>R</t>
        </is>
      </c>
      <c r="B1053" s="2" t="inlineStr">
        <is>
          <t>EXTERNAL WORKS</t>
        </is>
      </c>
      <c r="C1053" s="2" t="inlineStr">
        <is>
          <t>G</t>
        </is>
      </c>
      <c r="D1053" s="2" t="inlineStr">
        <is>
          <t>150mm Dia uPVC duct / conduit for power cables</t>
        </is>
      </c>
      <c r="E1053" s="2" t="inlineStr">
        <is>
          <t>m</t>
        </is>
      </c>
      <c r="F1053" s="2" t="n">
        <v>0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63</v>
      </c>
      <c r="O1053" s="2" t="n">
        <v>0</v>
      </c>
      <c r="P1053" s="2" t="n">
        <v>0</v>
      </c>
      <c r="Q1053" s="2" t="n">
        <v>63</v>
      </c>
      <c r="R1053" s="2" t="n">
        <v>63</v>
      </c>
      <c r="S1053" s="2" t="n"/>
      <c r="T1053" s="2">
        <f>IF(OR(S1053="",R1053=0),"",ROUND(S1053*R1053,2))</f>
        <v/>
      </c>
      <c r="U1053" s="2" t="inlineStr"/>
    </row>
    <row r="1054">
      <c r="A1054" s="2" t="inlineStr">
        <is>
          <t>R</t>
        </is>
      </c>
      <c r="B1054" s="2" t="inlineStr">
        <is>
          <t>EXTERNAL WORKS</t>
        </is>
      </c>
      <c r="C1054" s="2" t="inlineStr">
        <is>
          <t>H</t>
        </is>
      </c>
      <c r="D1054" s="2" t="inlineStr">
        <is>
          <t>100mm Dia uPVC duct / conduit for power cables</t>
        </is>
      </c>
      <c r="E1054" s="2" t="inlineStr">
        <is>
          <t>m</t>
        </is>
      </c>
      <c r="F1054" s="2" t="n">
        <v>0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126</v>
      </c>
      <c r="O1054" s="2" t="n">
        <v>0</v>
      </c>
      <c r="P1054" s="2" t="n">
        <v>0</v>
      </c>
      <c r="Q1054" s="2" t="n">
        <v>126</v>
      </c>
      <c r="R1054" s="2" t="n">
        <v>126</v>
      </c>
      <c r="S1054" s="2" t="n"/>
      <c r="T1054" s="2">
        <f>IF(OR(S1054="",R1054=0),"",ROUND(S1054*R1054,2))</f>
        <v/>
      </c>
      <c r="U1054" s="2" t="inlineStr"/>
    </row>
    <row r="1055">
      <c r="A1055" s="2" t="inlineStr">
        <is>
          <t>R</t>
        </is>
      </c>
      <c r="B1055" s="2" t="inlineStr">
        <is>
          <t>EXTERNAL WORKS</t>
        </is>
      </c>
      <c r="C1055" s="2" t="inlineStr">
        <is>
          <t>J</t>
        </is>
      </c>
      <c r="D1055" s="2" t="inlineStr">
        <is>
          <t>Allow 2 x 150mm Dia uPVC duct for main incoming cables from DEWA / infra network</t>
        </is>
      </c>
      <c r="E1055" s="2" t="inlineStr">
        <is>
          <t>m</t>
        </is>
      </c>
      <c r="F1055" s="2" t="n">
        <v>0</v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8</v>
      </c>
      <c r="O1055" s="2" t="n">
        <v>0</v>
      </c>
      <c r="P1055" s="2" t="n">
        <v>0</v>
      </c>
      <c r="Q1055" s="2" t="n">
        <v>8</v>
      </c>
      <c r="R1055" s="2" t="n">
        <v>8</v>
      </c>
      <c r="S1055" s="2" t="n"/>
      <c r="T1055" s="2">
        <f>IF(OR(S1055="",R1055=0),"",ROUND(S1055*R1055,2))</f>
        <v/>
      </c>
      <c r="U1055" s="2" t="inlineStr"/>
    </row>
    <row r="1056">
      <c r="A1056" s="2" t="inlineStr">
        <is>
          <t>R</t>
        </is>
      </c>
      <c r="B1056" s="2" t="inlineStr">
        <is>
          <t>EXTERNAL WORKS</t>
        </is>
      </c>
      <c r="C1056" s="2" t="inlineStr">
        <is>
          <t>K</t>
        </is>
      </c>
      <c r="D1056" s="2" t="inlineStr">
        <is>
          <t>Power manhole, minimum 600mm(L) x 600mm (W) x 1000 (D)</t>
        </is>
      </c>
      <c r="E1056" s="2" t="inlineStr">
        <is>
          <t>No</t>
        </is>
      </c>
      <c r="F1056" s="2" t="n">
        <v>0</v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8</v>
      </c>
      <c r="O1056" s="2" t="n">
        <v>0</v>
      </c>
      <c r="P1056" s="2" t="n">
        <v>0</v>
      </c>
      <c r="Q1056" s="2" t="n">
        <v>8</v>
      </c>
      <c r="R1056" s="2" t="n">
        <v>8</v>
      </c>
      <c r="S1056" s="2" t="n"/>
      <c r="T1056" s="2">
        <f>IF(OR(S1056="",R1056=0),"",ROUND(S1056*R1056,2))</f>
        <v/>
      </c>
      <c r="U1056" s="2" t="inlineStr"/>
    </row>
    <row r="1057">
      <c r="A1057" s="2" t="inlineStr">
        <is>
          <t>R</t>
        </is>
      </c>
      <c r="B1057" s="2" t="inlineStr">
        <is>
          <t>EXTERNAL WORKS</t>
        </is>
      </c>
      <c r="C1057" s="2" t="inlineStr">
        <is>
          <t>L</t>
        </is>
      </c>
      <c r="D1057" s="2" t="inlineStr">
        <is>
          <t>50mm Dia uPVC duct / conduit for FA cables</t>
        </is>
      </c>
      <c r="E1057" s="2" t="inlineStr">
        <is>
          <t>m</t>
        </is>
      </c>
      <c r="F1057" s="2" t="n">
        <v>0</v>
      </c>
      <c r="G1057" s="2" t="n">
        <v>0</v>
      </c>
      <c r="H1057" s="2" t="n">
        <v>0</v>
      </c>
      <c r="I1057" s="2" t="n">
        <v>0</v>
      </c>
      <c r="J1057" s="2" t="n">
        <v>0</v>
      </c>
      <c r="K1057" s="2" t="n">
        <v>0</v>
      </c>
      <c r="L1057" s="2" t="n">
        <v>0</v>
      </c>
      <c r="M1057" s="2" t="n">
        <v>0</v>
      </c>
      <c r="N1057" s="2" t="n">
        <v>144</v>
      </c>
      <c r="O1057" s="2" t="n">
        <v>0</v>
      </c>
      <c r="P1057" s="2" t="n">
        <v>0</v>
      </c>
      <c r="Q1057" s="2" t="n">
        <v>144</v>
      </c>
      <c r="R1057" s="2" t="n">
        <v>144</v>
      </c>
      <c r="S1057" s="2" t="n"/>
      <c r="T1057" s="2">
        <f>IF(OR(S1057="",R1057=0),"",ROUND(S1057*R1057,2))</f>
        <v/>
      </c>
      <c r="U1057" s="2" t="inlineStr"/>
    </row>
    <row r="1058">
      <c r="A1058" s="2" t="inlineStr">
        <is>
          <t>R</t>
        </is>
      </c>
      <c r="B1058" s="2" t="inlineStr">
        <is>
          <t>EXTERNAL WORKS</t>
        </is>
      </c>
      <c r="C1058" s="2" t="inlineStr">
        <is>
          <t>N</t>
        </is>
      </c>
      <c r="D1058" s="2" t="inlineStr">
        <is>
          <t>Fire alarm manhole, 600mm(L) x 600mm (W) x 800 (D)</t>
        </is>
      </c>
      <c r="E1058" s="2" t="inlineStr">
        <is>
          <t>No</t>
        </is>
      </c>
      <c r="F1058" s="2" t="n">
        <v>0</v>
      </c>
      <c r="G1058" s="2" t="n">
        <v>0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5</v>
      </c>
      <c r="O1058" s="2" t="n">
        <v>0</v>
      </c>
      <c r="P1058" s="2" t="n">
        <v>0</v>
      </c>
      <c r="Q1058" s="2" t="n">
        <v>5</v>
      </c>
      <c r="R1058" s="2" t="n">
        <v>5</v>
      </c>
      <c r="S1058" s="2" t="n"/>
      <c r="T1058" s="2">
        <f>IF(OR(S1058="",R1058=0),"",ROUND(S1058*R1058,2))</f>
        <v/>
      </c>
      <c r="U1058" s="2" t="inlineStr"/>
    </row>
    <row r="1059">
      <c r="A1059" s="2" t="inlineStr">
        <is>
          <t>R</t>
        </is>
      </c>
      <c r="B1059" s="2" t="inlineStr">
        <is>
          <t>EXTERNAL WORKS</t>
        </is>
      </c>
      <c r="C1059" s="2" t="inlineStr">
        <is>
          <t>P</t>
        </is>
      </c>
      <c r="D1059" s="2" t="inlineStr">
        <is>
          <t>100mm dia. uPVC duct for ICT/AV cables</t>
        </is>
      </c>
      <c r="E1059" s="2" t="inlineStr">
        <is>
          <t>No</t>
        </is>
      </c>
      <c r="F1059" s="2" t="n">
        <v>0</v>
      </c>
      <c r="G1059" s="2" t="n">
        <v>0</v>
      </c>
      <c r="H1059" s="2" t="n">
        <v>0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n">
        <v>92</v>
      </c>
      <c r="O1059" s="2" t="n">
        <v>0</v>
      </c>
      <c r="P1059" s="2" t="n">
        <v>0</v>
      </c>
      <c r="Q1059" s="2" t="n">
        <v>92</v>
      </c>
      <c r="R1059" s="2" t="n">
        <v>92</v>
      </c>
      <c r="S1059" s="2" t="n"/>
      <c r="T1059" s="2">
        <f>IF(OR(S1059="",R1059=0),"",ROUND(S1059*R1059,2))</f>
        <v/>
      </c>
      <c r="U1059" s="2" t="inlineStr"/>
    </row>
    <row r="1060">
      <c r="A1060" s="2" t="inlineStr">
        <is>
          <t>R</t>
        </is>
      </c>
      <c r="B1060" s="2" t="inlineStr">
        <is>
          <t>EXTERNAL WORKS</t>
        </is>
      </c>
      <c r="C1060" s="2" t="inlineStr">
        <is>
          <t>Q</t>
        </is>
      </c>
      <c r="D1060" s="2" t="inlineStr">
        <is>
          <t>2 x 100mm dia. uPVC duct for ICT/AV cables</t>
        </is>
      </c>
      <c r="E1060" s="2" t="inlineStr">
        <is>
          <t>No</t>
        </is>
      </c>
      <c r="F1060" s="2" t="n">
        <v>0</v>
      </c>
      <c r="G1060" s="2" t="n">
        <v>0</v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8</v>
      </c>
      <c r="O1060" s="2" t="n">
        <v>0</v>
      </c>
      <c r="P1060" s="2" t="n">
        <v>0</v>
      </c>
      <c r="Q1060" s="2" t="n">
        <v>8</v>
      </c>
      <c r="R1060" s="2" t="n">
        <v>8</v>
      </c>
      <c r="S1060" s="2" t="n"/>
      <c r="T1060" s="2">
        <f>IF(OR(S1060="",R1060=0),"",ROUND(S1060*R1060,2))</f>
        <v/>
      </c>
      <c r="U1060" s="2" t="inlineStr"/>
    </row>
    <row r="1061">
      <c r="A1061" s="2" t="inlineStr">
        <is>
          <t>R</t>
        </is>
      </c>
      <c r="B1061" s="2" t="inlineStr">
        <is>
          <t>EXTERNAL WORKS</t>
        </is>
      </c>
      <c r="C1061" s="2" t="inlineStr">
        <is>
          <t>R</t>
        </is>
      </c>
      <c r="D1061" s="2" t="inlineStr">
        <is>
          <t>ELV Manhole 600 x 600 x 800mm Grade A cover</t>
        </is>
      </c>
      <c r="E1061" s="2" t="inlineStr">
        <is>
          <t>No</t>
        </is>
      </c>
      <c r="F1061" s="2" t="n">
        <v>0</v>
      </c>
      <c r="G1061" s="2" t="n">
        <v>0</v>
      </c>
      <c r="H1061" s="2" t="n">
        <v>0</v>
      </c>
      <c r="I1061" s="2" t="n">
        <v>0</v>
      </c>
      <c r="J1061" s="2" t="n">
        <v>0</v>
      </c>
      <c r="K1061" s="2" t="n">
        <v>0</v>
      </c>
      <c r="L1061" s="2" t="n">
        <v>0</v>
      </c>
      <c r="M1061" s="2" t="n">
        <v>0</v>
      </c>
      <c r="N1061" s="2" t="n">
        <v>6</v>
      </c>
      <c r="O1061" s="2" t="n">
        <v>0</v>
      </c>
      <c r="P1061" s="2" t="n">
        <v>0</v>
      </c>
      <c r="Q1061" s="2" t="n">
        <v>6</v>
      </c>
      <c r="R1061" s="2" t="n">
        <v>6</v>
      </c>
      <c r="S1061" s="2" t="n"/>
      <c r="T1061" s="2">
        <f>IF(OR(S1061="",R1061=0),"",ROUND(S1061*R1061,2))</f>
        <v/>
      </c>
      <c r="U1061" s="2" t="inlineStr"/>
    </row>
    <row r="1062">
      <c r="A1062" s="2" t="inlineStr">
        <is>
          <t>R</t>
        </is>
      </c>
      <c r="B1062" s="2" t="inlineStr">
        <is>
          <t>FIRE DETECTION AND ALARM SYSTEM</t>
        </is>
      </c>
      <c r="C1062" s="2" t="inlineStr">
        <is>
          <t>C</t>
        </is>
      </c>
      <c r="D1062" s="2" t="inlineStr">
        <is>
          <t>Fire sounder with flasher W/P</t>
        </is>
      </c>
      <c r="E1062" s="2" t="inlineStr">
        <is>
          <t>No</t>
        </is>
      </c>
      <c r="F1062" s="2" t="n">
        <v>4</v>
      </c>
      <c r="G1062" s="2" t="n">
        <v>4</v>
      </c>
      <c r="H1062" s="2" t="n">
        <v>6</v>
      </c>
      <c r="I1062" s="2" t="n">
        <v>6</v>
      </c>
      <c r="J1062" s="2" t="n">
        <v>8</v>
      </c>
      <c r="K1062" s="2" t="n">
        <v>8</v>
      </c>
      <c r="L1062" s="2" t="n">
        <v>1</v>
      </c>
      <c r="M1062" s="2" t="n">
        <v>1</v>
      </c>
      <c r="N1062" s="2" t="n">
        <v>0</v>
      </c>
      <c r="O1062" s="2" t="n">
        <v>0</v>
      </c>
      <c r="P1062" s="2" t="n">
        <v>0</v>
      </c>
      <c r="Q1062" s="2" t="n">
        <v>38</v>
      </c>
      <c r="R1062" s="2" t="n">
        <v>547</v>
      </c>
      <c r="S1062" s="2" t="n"/>
      <c r="T1062" s="2">
        <f>IF(OR(S1062="",R1062=0),"",ROUND(S1062*R1062,2))</f>
        <v/>
      </c>
      <c r="U1062" s="2" t="inlineStr"/>
    </row>
    <row r="1063">
      <c r="A1063" s="2" t="inlineStr">
        <is>
          <t>R</t>
        </is>
      </c>
      <c r="B1063" s="2" t="inlineStr">
        <is>
          <t>FIRE DETECTION AND ALARM SYSTEM</t>
        </is>
      </c>
      <c r="C1063" s="2" t="inlineStr">
        <is>
          <t>D</t>
        </is>
      </c>
      <c r="D1063" s="2" t="inlineStr">
        <is>
          <t>Fire alarm Hassantuk control panel ATE/4G/GSM</t>
        </is>
      </c>
      <c r="E1063" s="2" t="inlineStr">
        <is>
          <t>No</t>
        </is>
      </c>
      <c r="F1063" s="2" t="n">
        <v>4</v>
      </c>
      <c r="G1063" s="2" t="n">
        <v>4</v>
      </c>
      <c r="H1063" s="2" t="n">
        <v>6</v>
      </c>
      <c r="I1063" s="2" t="n">
        <v>6</v>
      </c>
      <c r="J1063" s="2" t="n">
        <v>8</v>
      </c>
      <c r="K1063" s="2" t="n">
        <v>8</v>
      </c>
      <c r="L1063" s="2" t="n">
        <v>1</v>
      </c>
      <c r="M1063" s="2" t="n">
        <v>1</v>
      </c>
      <c r="N1063" s="2" t="n">
        <v>0</v>
      </c>
      <c r="O1063" s="2" t="n">
        <v>0</v>
      </c>
      <c r="P1063" s="2" t="n">
        <v>0</v>
      </c>
      <c r="Q1063" s="2" t="n">
        <v>38</v>
      </c>
      <c r="R1063" s="2" t="n">
        <v>547</v>
      </c>
      <c r="S1063" s="2" t="n"/>
      <c r="T1063" s="2">
        <f>IF(OR(S1063="",R1063=0),"",ROUND(S1063*R1063,2))</f>
        <v/>
      </c>
      <c r="U1063" s="2" t="inlineStr"/>
    </row>
    <row r="1064">
      <c r="A1064" s="2" t="inlineStr">
        <is>
          <t>R</t>
        </is>
      </c>
      <c r="B1064" s="2" t="inlineStr">
        <is>
          <t>FIRE DETECTION AND ALARM SYSTEM</t>
        </is>
      </c>
      <c r="C1064" s="2" t="inlineStr">
        <is>
          <t>E</t>
        </is>
      </c>
      <c r="D1064" s="2" t="inlineStr">
        <is>
          <t>Fire alarm repeater panel</t>
        </is>
      </c>
      <c r="E1064" s="2" t="inlineStr">
        <is>
          <t>No</t>
        </is>
      </c>
      <c r="F1064" s="2" t="n">
        <v>4</v>
      </c>
      <c r="G1064" s="2" t="n">
        <v>4</v>
      </c>
      <c r="H1064" s="2" t="n">
        <v>6</v>
      </c>
      <c r="I1064" s="2" t="n">
        <v>6</v>
      </c>
      <c r="J1064" s="2" t="n">
        <v>8</v>
      </c>
      <c r="K1064" s="2" t="n">
        <v>8</v>
      </c>
      <c r="L1064" s="2" t="n">
        <v>3</v>
      </c>
      <c r="M1064" s="2" t="n">
        <v>3</v>
      </c>
      <c r="N1064" s="2" t="n">
        <v>0</v>
      </c>
      <c r="O1064" s="2" t="n">
        <v>0</v>
      </c>
      <c r="P1064" s="2" t="n">
        <v>0</v>
      </c>
      <c r="Q1064" s="2" t="n">
        <v>42</v>
      </c>
      <c r="R1064" s="2" t="n">
        <v>621</v>
      </c>
      <c r="S1064" s="2" t="n"/>
      <c r="T1064" s="2">
        <f>IF(OR(S1064="",R1064=0),"",ROUND(S1064*R1064,2))</f>
        <v/>
      </c>
      <c r="U1064" s="2" t="inlineStr"/>
    </row>
    <row r="1065">
      <c r="A1065" s="2" t="inlineStr">
        <is>
          <t>R</t>
        </is>
      </c>
      <c r="B1065" s="2" t="inlineStr">
        <is>
          <t>FIRE DETECTION AND ALARM SYSTEM</t>
        </is>
      </c>
      <c r="C1065" s="2" t="inlineStr">
        <is>
          <t>F</t>
        </is>
      </c>
      <c r="D1065" s="2" t="inlineStr">
        <is>
          <t>Intelligent optical smoke detector with built-in isolator</t>
        </is>
      </c>
      <c r="E1065" s="2" t="inlineStr">
        <is>
          <t>No</t>
        </is>
      </c>
      <c r="F1065" s="2" t="n">
        <v>0</v>
      </c>
      <c r="G1065" s="2" t="n">
        <v>0</v>
      </c>
      <c r="H1065" s="2" t="n">
        <v>0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0</v>
      </c>
      <c r="N1065" s="2" t="n">
        <v>14</v>
      </c>
      <c r="O1065" s="2" t="n">
        <v>1</v>
      </c>
      <c r="P1065" s="2" t="n">
        <v>0</v>
      </c>
      <c r="Q1065" s="2" t="n">
        <v>15</v>
      </c>
      <c r="R1065" s="2" t="n">
        <v>15</v>
      </c>
      <c r="S1065" s="2" t="n"/>
      <c r="T1065" s="2">
        <f>IF(OR(S1065="",R1065=0),"",ROUND(S1065*R1065,2))</f>
        <v/>
      </c>
      <c r="U1065" s="2" t="inlineStr"/>
    </row>
    <row r="1066">
      <c r="A1066" s="2" t="inlineStr">
        <is>
          <t>R</t>
        </is>
      </c>
      <c r="B1066" s="2" t="inlineStr">
        <is>
          <t>FIRE DETECTION AND ALARM SYSTEM</t>
        </is>
      </c>
      <c r="C1066" s="2" t="inlineStr">
        <is>
          <t>G</t>
        </is>
      </c>
      <c r="D1066" s="2" t="inlineStr">
        <is>
          <t>Intelligent optical smoke detector with remote indicator and built-in isolator</t>
        </is>
      </c>
      <c r="E1066" s="2" t="inlineStr">
        <is>
          <t>No</t>
        </is>
      </c>
      <c r="F1066" s="2" t="n">
        <v>0</v>
      </c>
      <c r="G1066" s="2" t="n">
        <v>0</v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0</v>
      </c>
      <c r="N1066" s="2" t="n">
        <v>4</v>
      </c>
      <c r="O1066" s="2" t="n">
        <v>0</v>
      </c>
      <c r="P1066" s="2" t="n">
        <v>0</v>
      </c>
      <c r="Q1066" s="2" t="n">
        <v>4</v>
      </c>
      <c r="R1066" s="2" t="n">
        <v>4</v>
      </c>
      <c r="S1066" s="2" t="n"/>
      <c r="T1066" s="2">
        <f>IF(OR(S1066="",R1066=0),"",ROUND(S1066*R1066,2))</f>
        <v/>
      </c>
      <c r="U1066" s="2" t="inlineStr"/>
    </row>
    <row r="1067">
      <c r="A1067" s="2" t="inlineStr">
        <is>
          <t>R</t>
        </is>
      </c>
      <c r="B1067" s="2" t="inlineStr">
        <is>
          <t>FIRE DETECTION AND ALARM SYSTEM</t>
        </is>
      </c>
      <c r="C1067" s="2" t="inlineStr">
        <is>
          <t>H</t>
        </is>
      </c>
      <c r="D1067" s="2" t="inlineStr">
        <is>
          <t>Intelligent heat detector with built-in isolator</t>
        </is>
      </c>
      <c r="E1067" s="2" t="inlineStr">
        <is>
          <t>No</t>
        </is>
      </c>
      <c r="F1067" s="2" t="n">
        <v>0</v>
      </c>
      <c r="G1067" s="2" t="n">
        <v>0</v>
      </c>
      <c r="H1067" s="2" t="n">
        <v>0</v>
      </c>
      <c r="I1067" s="2" t="n">
        <v>0</v>
      </c>
      <c r="J1067" s="2" t="n">
        <v>0</v>
      </c>
      <c r="K1067" s="2" t="n">
        <v>0</v>
      </c>
      <c r="L1067" s="2" t="n">
        <v>0</v>
      </c>
      <c r="M1067" s="2" t="n">
        <v>0</v>
      </c>
      <c r="N1067" s="2" t="n">
        <v>6</v>
      </c>
      <c r="O1067" s="2" t="n">
        <v>0</v>
      </c>
      <c r="P1067" s="2" t="n">
        <v>0</v>
      </c>
      <c r="Q1067" s="2" t="n">
        <v>6</v>
      </c>
      <c r="R1067" s="2" t="n">
        <v>6</v>
      </c>
      <c r="S1067" s="2" t="n"/>
      <c r="T1067" s="2">
        <f>IF(OR(S1067="",R1067=0),"",ROUND(S1067*R1067,2))</f>
        <v/>
      </c>
      <c r="U1067" s="2" t="inlineStr"/>
    </row>
    <row r="1068">
      <c r="A1068" s="2" t="inlineStr">
        <is>
          <t>R</t>
        </is>
      </c>
      <c r="B1068" s="2" t="inlineStr">
        <is>
          <t>FIRE DETECTION AND ALARM SYSTEM</t>
        </is>
      </c>
      <c r="C1068" s="2" t="inlineStr">
        <is>
          <t>J</t>
        </is>
      </c>
      <c r="D1068" s="2" t="inlineStr">
        <is>
          <t>Manual call point with built-in isolator</t>
        </is>
      </c>
      <c r="E1068" s="2" t="inlineStr">
        <is>
          <t>No</t>
        </is>
      </c>
      <c r="F1068" s="2" t="n">
        <v>0</v>
      </c>
      <c r="G1068" s="2" t="n">
        <v>0</v>
      </c>
      <c r="H1068" s="2" t="n">
        <v>0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</v>
      </c>
      <c r="N1068" s="2" t="n">
        <v>0</v>
      </c>
      <c r="O1068" s="2" t="n">
        <v>1</v>
      </c>
      <c r="P1068" s="2" t="n">
        <v>0</v>
      </c>
      <c r="Q1068" s="2" t="n">
        <v>1</v>
      </c>
      <c r="R1068" s="2" t="n">
        <v>1</v>
      </c>
      <c r="S1068" s="2" t="n"/>
      <c r="T1068" s="2">
        <f>IF(OR(S1068="",R1068=0),"",ROUND(S1068*R1068,2))</f>
        <v/>
      </c>
      <c r="U1068" s="2" t="inlineStr"/>
    </row>
    <row r="1069">
      <c r="A1069" s="2" t="inlineStr">
        <is>
          <t>R</t>
        </is>
      </c>
      <c r="B1069" s="2" t="inlineStr">
        <is>
          <t>FIRE DETECTION AND ALARM SYSTEM</t>
        </is>
      </c>
      <c r="C1069" s="2" t="inlineStr">
        <is>
          <t>K</t>
        </is>
      </c>
      <c r="D1069" s="2" t="inlineStr">
        <is>
          <t>Manual call point with built-in isolator, W/P</t>
        </is>
      </c>
      <c r="E1069" s="2" t="inlineStr">
        <is>
          <t>No</t>
        </is>
      </c>
      <c r="F1069" s="2" t="n">
        <v>0</v>
      </c>
      <c r="G1069" s="2" t="n">
        <v>0</v>
      </c>
      <c r="H1069" s="2" t="n">
        <v>0</v>
      </c>
      <c r="I1069" s="2" t="n">
        <v>0</v>
      </c>
      <c r="J1069" s="2" t="n">
        <v>0</v>
      </c>
      <c r="K1069" s="2" t="n">
        <v>0</v>
      </c>
      <c r="L1069" s="2" t="n">
        <v>0</v>
      </c>
      <c r="M1069" s="2" t="n">
        <v>0</v>
      </c>
      <c r="N1069" s="2" t="n">
        <v>4</v>
      </c>
      <c r="O1069" s="2" t="n">
        <v>0</v>
      </c>
      <c r="P1069" s="2" t="n">
        <v>0</v>
      </c>
      <c r="Q1069" s="2" t="n">
        <v>4</v>
      </c>
      <c r="R1069" s="2" t="n">
        <v>4</v>
      </c>
      <c r="S1069" s="2" t="n"/>
      <c r="T1069" s="2">
        <f>IF(OR(S1069="",R1069=0),"",ROUND(S1069*R1069,2))</f>
        <v/>
      </c>
      <c r="U1069" s="2" t="inlineStr"/>
    </row>
    <row r="1070">
      <c r="A1070" s="2" t="inlineStr">
        <is>
          <t>R</t>
        </is>
      </c>
      <c r="B1070" s="2" t="inlineStr">
        <is>
          <t>FIRE DETECTION AND ALARM SYSTEM</t>
        </is>
      </c>
      <c r="C1070" s="2" t="inlineStr">
        <is>
          <t>L</t>
        </is>
      </c>
      <c r="D1070" s="2" t="inlineStr">
        <is>
          <t>Interface unit with dual input/output control &amp; monitor module</t>
        </is>
      </c>
      <c r="E1070" s="2" t="inlineStr">
        <is>
          <t>No</t>
        </is>
      </c>
      <c r="F1070" s="2" t="n">
        <v>0</v>
      </c>
      <c r="G1070" s="2" t="n">
        <v>0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</v>
      </c>
      <c r="N1070" s="2" t="n">
        <v>4</v>
      </c>
      <c r="O1070" s="2" t="n">
        <v>3</v>
      </c>
      <c r="P1070" s="2" t="n">
        <v>0</v>
      </c>
      <c r="Q1070" s="2" t="n">
        <v>7</v>
      </c>
      <c r="R1070" s="2" t="n">
        <v>7</v>
      </c>
      <c r="S1070" s="2" t="n"/>
      <c r="T1070" s="2">
        <f>IF(OR(S1070="",R1070=0),"",ROUND(S1070*R1070,2))</f>
        <v/>
      </c>
      <c r="U1070" s="2" t="inlineStr"/>
    </row>
    <row r="1071">
      <c r="A1071" s="2" t="inlineStr">
        <is>
          <t>R</t>
        </is>
      </c>
      <c r="B1071" s="2" t="inlineStr">
        <is>
          <t>FIRE DETECTION AND ALARM SYSTEM</t>
        </is>
      </c>
      <c r="C1071" s="2" t="inlineStr">
        <is>
          <t>M</t>
        </is>
      </c>
      <c r="D1071" s="2" t="inlineStr">
        <is>
          <t>Fire alarm sounder flasher W/P</t>
        </is>
      </c>
      <c r="E1071" s="2" t="inlineStr">
        <is>
          <t>No</t>
        </is>
      </c>
      <c r="F1071" s="2" t="n">
        <v>0</v>
      </c>
      <c r="G1071" s="2" t="n">
        <v>0</v>
      </c>
      <c r="H1071" s="2" t="n">
        <v>0</v>
      </c>
      <c r="I1071" s="2" t="n">
        <v>0</v>
      </c>
      <c r="J1071" s="2" t="n">
        <v>0</v>
      </c>
      <c r="K1071" s="2" t="n">
        <v>0</v>
      </c>
      <c r="L1071" s="2" t="n">
        <v>0</v>
      </c>
      <c r="M1071" s="2" t="n">
        <v>0</v>
      </c>
      <c r="N1071" s="2" t="n">
        <v>11</v>
      </c>
      <c r="O1071" s="2" t="n">
        <v>1</v>
      </c>
      <c r="P1071" s="2" t="n">
        <v>0</v>
      </c>
      <c r="Q1071" s="2" t="n">
        <v>12</v>
      </c>
      <c r="R1071" s="2" t="n">
        <v>12</v>
      </c>
      <c r="S1071" s="2" t="n"/>
      <c r="T1071" s="2">
        <f>IF(OR(S1071="",R1071=0),"",ROUND(S1071*R1071,2))</f>
        <v/>
      </c>
      <c r="U1071" s="2" t="inlineStr"/>
    </row>
    <row r="1072">
      <c r="A1072" s="2" t="inlineStr">
        <is>
          <t>R</t>
        </is>
      </c>
      <c r="B1072" s="2" t="inlineStr">
        <is>
          <t>FIRE DETECTION AND ALARM SYSTEM</t>
        </is>
      </c>
      <c r="C1072" s="2" t="inlineStr">
        <is>
          <t>N</t>
        </is>
      </c>
      <c r="D1072" s="2" t="inlineStr">
        <is>
          <t>Fire alarm sounder or horn with flasher W/P</t>
        </is>
      </c>
      <c r="E1072" s="2" t="inlineStr">
        <is>
          <t>No</t>
        </is>
      </c>
      <c r="F1072" s="2" t="n">
        <v>0</v>
      </c>
      <c r="G1072" s="2" t="n">
        <v>0</v>
      </c>
      <c r="H1072" s="2" t="n">
        <v>0</v>
      </c>
      <c r="I1072" s="2" t="n">
        <v>0</v>
      </c>
      <c r="J1072" s="2" t="n">
        <v>0</v>
      </c>
      <c r="K1072" s="2" t="n">
        <v>0</v>
      </c>
      <c r="L1072" s="2" t="n">
        <v>0</v>
      </c>
      <c r="M1072" s="2" t="n">
        <v>0</v>
      </c>
      <c r="N1072" s="2" t="n">
        <v>3</v>
      </c>
      <c r="O1072" s="2" t="n">
        <v>0</v>
      </c>
      <c r="P1072" s="2" t="n">
        <v>0</v>
      </c>
      <c r="Q1072" s="2" t="n">
        <v>3</v>
      </c>
      <c r="R1072" s="2" t="n">
        <v>3</v>
      </c>
      <c r="S1072" s="2" t="n"/>
      <c r="T1072" s="2">
        <f>IF(OR(S1072="",R1072=0),"",ROUND(S1072*R1072,2))</f>
        <v/>
      </c>
      <c r="U1072" s="2" t="inlineStr"/>
    </row>
    <row r="1073">
      <c r="A1073" s="2" t="inlineStr">
        <is>
          <t>R</t>
        </is>
      </c>
      <c r="B1073" s="2" t="inlineStr">
        <is>
          <t>FIRE DETECTION AND ALARM SYSTEM</t>
        </is>
      </c>
      <c r="C1073" s="2" t="inlineStr">
        <is>
          <t>P</t>
        </is>
      </c>
      <c r="D1073" s="2" t="inlineStr">
        <is>
          <t>Emergency break glass swimming pool</t>
        </is>
      </c>
      <c r="E1073" s="2" t="inlineStr">
        <is>
          <t>No</t>
        </is>
      </c>
      <c r="F1073" s="2" t="n">
        <v>0</v>
      </c>
      <c r="G1073" s="2" t="n">
        <v>0</v>
      </c>
      <c r="H1073" s="2" t="n">
        <v>0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  <c r="N1073" s="2" t="n">
        <v>1</v>
      </c>
      <c r="O1073" s="2" t="n">
        <v>0</v>
      </c>
      <c r="P1073" s="2" t="n">
        <v>0</v>
      </c>
      <c r="Q1073" s="2" t="n">
        <v>1</v>
      </c>
      <c r="R1073" s="2" t="n">
        <v>1</v>
      </c>
      <c r="S1073" s="2" t="n"/>
      <c r="T1073" s="2">
        <f>IF(OR(S1073="",R1073=0),"",ROUND(S1073*R1073,2))</f>
        <v/>
      </c>
      <c r="U1073" s="2" t="inlineStr"/>
    </row>
    <row r="1074">
      <c r="A1074" s="2" t="inlineStr">
        <is>
          <t>R</t>
        </is>
      </c>
      <c r="B1074" s="2" t="inlineStr">
        <is>
          <t>FIRE DETECTION AND ALARM SYSTEM</t>
        </is>
      </c>
      <c r="C1074" s="2" t="inlineStr">
        <is>
          <t>Q</t>
        </is>
      </c>
      <c r="D1074" s="2" t="inlineStr">
        <is>
          <t>Fire alarm control panel at service block</t>
        </is>
      </c>
      <c r="E1074" s="2" t="inlineStr">
        <is>
          <t>No</t>
        </is>
      </c>
      <c r="F1074" s="2" t="n">
        <v>0</v>
      </c>
      <c r="G1074" s="2" t="n">
        <v>0</v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</v>
      </c>
      <c r="N1074" s="2" t="n">
        <v>1</v>
      </c>
      <c r="O1074" s="2" t="n">
        <v>0</v>
      </c>
      <c r="P1074" s="2" t="n">
        <v>0</v>
      </c>
      <c r="Q1074" s="2" t="n">
        <v>1</v>
      </c>
      <c r="R1074" s="2" t="n">
        <v>1</v>
      </c>
      <c r="S1074" s="2" t="n"/>
      <c r="T1074" s="2">
        <f>IF(OR(S1074="",R1074=0),"",ROUND(S1074*R1074,2))</f>
        <v/>
      </c>
      <c r="U1074" s="2" t="inlineStr"/>
    </row>
    <row r="1075">
      <c r="A1075" s="2" t="inlineStr">
        <is>
          <t>R</t>
        </is>
      </c>
      <c r="B1075" s="2" t="inlineStr">
        <is>
          <t>FIRE DETECTION AND ALARM SYSTEM</t>
        </is>
      </c>
      <c r="C1075" s="2" t="inlineStr">
        <is>
          <t>R</t>
        </is>
      </c>
      <c r="D1075" s="2" t="inlineStr">
        <is>
          <t>Fire alarm control panel at guard house</t>
        </is>
      </c>
      <c r="E1075" s="2" t="inlineStr">
        <is>
          <t>No</t>
        </is>
      </c>
      <c r="F1075" s="2" t="n">
        <v>0</v>
      </c>
      <c r="G1075" s="2" t="n">
        <v>0</v>
      </c>
      <c r="H1075" s="2" t="n">
        <v>0</v>
      </c>
      <c r="I1075" s="2" t="n">
        <v>0</v>
      </c>
      <c r="J1075" s="2" t="n">
        <v>0</v>
      </c>
      <c r="K1075" s="2" t="n">
        <v>0</v>
      </c>
      <c r="L1075" s="2" t="n">
        <v>0</v>
      </c>
      <c r="M1075" s="2" t="n">
        <v>0</v>
      </c>
      <c r="N1075" s="2" t="n">
        <v>0</v>
      </c>
      <c r="O1075" s="2" t="n">
        <v>1</v>
      </c>
      <c r="P1075" s="2" t="n">
        <v>0</v>
      </c>
      <c r="Q1075" s="2" t="n">
        <v>1</v>
      </c>
      <c r="R1075" s="2" t="n">
        <v>1</v>
      </c>
      <c r="S1075" s="2" t="n"/>
      <c r="T1075" s="2">
        <f>IF(OR(S1075="",R1075=0),"",ROUND(S1075*R1075,2))</f>
        <v/>
      </c>
      <c r="U1075" s="2" t="inlineStr"/>
    </row>
    <row r="1076">
      <c r="A1076" s="2" t="inlineStr">
        <is>
          <t>R</t>
        </is>
      </c>
      <c r="B1076" s="2" t="inlineStr">
        <is>
          <t>FIRE DETECTION AND ALARM SYSTEM</t>
        </is>
      </c>
      <c r="C1076" s="2" t="inlineStr">
        <is>
          <t>S</t>
        </is>
      </c>
      <c r="D1076" s="2" t="inlineStr">
        <is>
          <t>24/7 Panel</t>
        </is>
      </c>
      <c r="E1076" s="2" t="inlineStr">
        <is>
          <t>No</t>
        </is>
      </c>
      <c r="F1076" s="2" t="n">
        <v>0</v>
      </c>
      <c r="G1076" s="2" t="n">
        <v>0</v>
      </c>
      <c r="H1076" s="2" t="n">
        <v>0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1</v>
      </c>
      <c r="O1076" s="2" t="n">
        <v>1</v>
      </c>
      <c r="P1076" s="2" t="n">
        <v>0</v>
      </c>
      <c r="Q1076" s="2" t="n">
        <v>2</v>
      </c>
      <c r="R1076" s="2" t="n">
        <v>2</v>
      </c>
      <c r="S1076" s="2" t="n"/>
      <c r="T1076" s="2">
        <f>IF(OR(S1076="",R1076=0),"",ROUND(S1076*R1076,2))</f>
        <v/>
      </c>
      <c r="U1076" s="2" t="inlineStr"/>
    </row>
    <row r="1077">
      <c r="A1077" s="2" t="inlineStr">
        <is>
          <t>R</t>
        </is>
      </c>
      <c r="B1077" s="2" t="inlineStr">
        <is>
          <t>FIRE DETECTION AND ALARM SYSTEM</t>
        </is>
      </c>
      <c r="C1077" s="2" t="inlineStr">
        <is>
          <t>T</t>
        </is>
      </c>
      <c r="D1077" s="2" t="inlineStr">
        <is>
          <t>Fire alarm device points</t>
        </is>
      </c>
      <c r="E1077" s="2" t="inlineStr">
        <is>
          <t>No</t>
        </is>
      </c>
      <c r="F1077" s="2" t="n">
        <v>4</v>
      </c>
      <c r="G1077" s="2" t="n">
        <v>4</v>
      </c>
      <c r="H1077" s="2" t="n">
        <v>6</v>
      </c>
      <c r="I1077" s="2" t="n">
        <v>6</v>
      </c>
      <c r="J1077" s="2" t="n">
        <v>8</v>
      </c>
      <c r="K1077" s="2" t="n">
        <v>8</v>
      </c>
      <c r="L1077" s="2" t="n">
        <v>1</v>
      </c>
      <c r="M1077" s="2" t="n">
        <v>1</v>
      </c>
      <c r="N1077" s="2" t="n">
        <v>46</v>
      </c>
      <c r="O1077" s="2" t="n">
        <v>6</v>
      </c>
      <c r="P1077" s="2" t="n">
        <v>0</v>
      </c>
      <c r="Q1077" s="2" t="n">
        <v>90</v>
      </c>
      <c r="R1077" s="2" t="n">
        <v>599</v>
      </c>
      <c r="S1077" s="2" t="n"/>
      <c r="T1077" s="2">
        <f>IF(OR(S1077="",R1077=0),"",ROUND(S1077*R1077,2))</f>
        <v/>
      </c>
      <c r="U1077" s="2" t="inlineStr"/>
    </row>
    <row r="1078">
      <c r="A1078" s="2" t="inlineStr">
        <is>
          <t>R</t>
        </is>
      </c>
      <c r="B1078" s="2" t="inlineStr">
        <is>
          <t>FIRE DETECTION AND ALARM SYSTEM</t>
        </is>
      </c>
      <c r="C1078" s="2" t="inlineStr">
        <is>
          <t>V</t>
        </is>
      </c>
      <c r="D1078" s="2" t="inlineStr">
        <is>
          <t>Cabling to fire alarm repeater panel</t>
        </is>
      </c>
      <c r="E1078" s="2" t="inlineStr">
        <is>
          <t>No</t>
        </is>
      </c>
      <c r="F1078" s="2" t="n">
        <v>4</v>
      </c>
      <c r="G1078" s="2" t="n">
        <v>4</v>
      </c>
      <c r="H1078" s="2" t="n">
        <v>6</v>
      </c>
      <c r="I1078" s="2" t="n">
        <v>6</v>
      </c>
      <c r="J1078" s="2" t="n">
        <v>8</v>
      </c>
      <c r="K1078" s="2" t="n">
        <v>8</v>
      </c>
      <c r="L1078" s="2" t="n">
        <v>3</v>
      </c>
      <c r="M1078" s="2" t="n">
        <v>3</v>
      </c>
      <c r="N1078" s="2" t="n">
        <v>0</v>
      </c>
      <c r="O1078" s="2" t="n">
        <v>0</v>
      </c>
      <c r="P1078" s="2" t="n">
        <v>0</v>
      </c>
      <c r="Q1078" s="2" t="n">
        <v>42</v>
      </c>
      <c r="R1078" s="2" t="n">
        <v>621</v>
      </c>
      <c r="S1078" s="2" t="n"/>
      <c r="T1078" s="2">
        <f>IF(OR(S1078="",R1078=0),"",ROUND(S1078*R1078,2))</f>
        <v/>
      </c>
      <c r="U1078" s="2" t="inlineStr"/>
    </row>
    <row r="1079">
      <c r="A1079" s="2" t="inlineStr">
        <is>
          <t>R</t>
        </is>
      </c>
      <c r="B1079" s="2" t="inlineStr">
        <is>
          <t>OAS-1C&amp;2C-NC-GE-GN-ELE-EP-1104/2104/3104</t>
        </is>
      </c>
      <c r="C1079" s="2" t="inlineStr">
        <is>
          <t>A</t>
        </is>
      </c>
      <c r="D1079" s="2" t="inlineStr">
        <is>
          <t>100mm Dia uPVC duct / conduit for cables to DB-GFs</t>
        </is>
      </c>
      <c r="E1079" s="2" t="inlineStr">
        <is>
          <t>m</t>
        </is>
      </c>
      <c r="F1079" s="2" t="n">
        <v>30</v>
      </c>
      <c r="G1079" s="2" t="n">
        <v>30</v>
      </c>
      <c r="H1079" s="2" t="n">
        <v>44</v>
      </c>
      <c r="I1079" s="2" t="n">
        <v>44</v>
      </c>
      <c r="J1079" s="2" t="n">
        <v>58</v>
      </c>
      <c r="K1079" s="2" t="n">
        <v>58</v>
      </c>
      <c r="L1079" s="2" t="n">
        <v>18</v>
      </c>
      <c r="M1079" s="2" t="n">
        <v>18</v>
      </c>
      <c r="N1079" s="2" t="n">
        <v>0</v>
      </c>
      <c r="O1079" s="2" t="n">
        <v>0</v>
      </c>
      <c r="P1079" s="2" t="n">
        <v>0</v>
      </c>
      <c r="Q1079" s="2" t="n">
        <v>300</v>
      </c>
      <c r="R1079" s="2" t="n">
        <v>4420</v>
      </c>
      <c r="S1079" s="2" t="n"/>
      <c r="T1079" s="2">
        <f>IF(OR(S1079="",R1079=0),"",ROUND(S1079*R1079,2))</f>
        <v/>
      </c>
      <c r="U1079" s="2" t="inlineStr"/>
    </row>
    <row r="1080">
      <c r="A1080" s="2" t="inlineStr">
        <is>
          <t>R</t>
        </is>
      </c>
      <c r="B1080" s="2" t="inlineStr">
        <is>
          <t>OAS-1C&amp;2C-NC-GE-GN-ELE-EP-1104/2104/3104</t>
        </is>
      </c>
      <c r="C1080" s="2" t="inlineStr">
        <is>
          <t>A</t>
        </is>
      </c>
      <c r="D1080" s="2" t="inlineStr">
        <is>
          <t>Ref. LTA1.1</t>
        </is>
      </c>
      <c r="E1080" s="2" t="inlineStr">
        <is>
          <t>No</t>
        </is>
      </c>
      <c r="F1080" s="2" t="n">
        <v>36</v>
      </c>
      <c r="G1080" s="2" t="n">
        <v>36</v>
      </c>
      <c r="H1080" s="2" t="n">
        <v>48</v>
      </c>
      <c r="I1080" s="2" t="n">
        <v>48</v>
      </c>
      <c r="J1080" s="2" t="n">
        <v>60</v>
      </c>
      <c r="K1080" s="2" t="n">
        <v>60</v>
      </c>
      <c r="L1080" s="2" t="n">
        <v>29</v>
      </c>
      <c r="M1080" s="2" t="n">
        <v>29</v>
      </c>
      <c r="N1080" s="2" t="n">
        <v>0</v>
      </c>
      <c r="O1080" s="2" t="n">
        <v>0</v>
      </c>
      <c r="P1080" s="2" t="n">
        <v>0</v>
      </c>
      <c r="Q1080" s="2" t="n">
        <v>346</v>
      </c>
      <c r="R1080" s="2" t="n">
        <v>5237</v>
      </c>
      <c r="S1080" s="2" t="n"/>
      <c r="T1080" s="2">
        <f>IF(OR(S1080="",R1080=0),"",ROUND(S1080*R1080,2))</f>
        <v/>
      </c>
      <c r="U1080" s="2" t="inlineStr"/>
    </row>
    <row r="1081">
      <c r="A1081" s="2" t="inlineStr">
        <is>
          <t>R</t>
        </is>
      </c>
      <c r="B1081" s="2" t="inlineStr">
        <is>
          <t>OAS-1C&amp;2C-NC-GE-GN-ELE-EP-1104/2104/3104</t>
        </is>
      </c>
      <c r="C1081" s="2" t="inlineStr">
        <is>
          <t>A</t>
        </is>
      </c>
      <c r="D1081" s="2" t="inlineStr">
        <is>
          <t>Ref. F1</t>
        </is>
      </c>
      <c r="E1081" s="2" t="inlineStr">
        <is>
          <t>No</t>
        </is>
      </c>
      <c r="F1081" s="2" t="n">
        <v>0</v>
      </c>
      <c r="G1081" s="2" t="n">
        <v>0</v>
      </c>
      <c r="H1081" s="2" t="n">
        <v>0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0</v>
      </c>
      <c r="N1081" s="2" t="n">
        <v>9</v>
      </c>
      <c r="O1081" s="2" t="n">
        <v>0</v>
      </c>
      <c r="P1081" s="2" t="n">
        <v>0</v>
      </c>
      <c r="Q1081" s="2" t="n">
        <v>9</v>
      </c>
      <c r="R1081" s="2" t="n">
        <v>9</v>
      </c>
      <c r="S1081" s="2" t="n"/>
      <c r="T1081" s="2">
        <f>IF(OR(S1081="",R1081=0),"",ROUND(S1081*R1081,2))</f>
        <v/>
      </c>
      <c r="U1081" s="2" t="inlineStr"/>
    </row>
    <row r="1082">
      <c r="A1082" s="2" t="inlineStr">
        <is>
          <t>R</t>
        </is>
      </c>
      <c r="B1082" s="2" t="inlineStr">
        <is>
          <t>OAS-1C&amp;2C-NC-GE-GN-ELE-EP-1104/2104/3104</t>
        </is>
      </c>
      <c r="C1082" s="2" t="inlineStr">
        <is>
          <t>A</t>
        </is>
      </c>
      <c r="D1082" s="2" t="inlineStr">
        <is>
          <t>Ref. LTA1.1</t>
        </is>
      </c>
      <c r="E1082" s="2" t="inlineStr">
        <is>
          <t>No</t>
        </is>
      </c>
      <c r="F1082" s="2" t="n">
        <v>36</v>
      </c>
      <c r="G1082" s="2" t="n">
        <v>36</v>
      </c>
      <c r="H1082" s="2" t="n">
        <v>48</v>
      </c>
      <c r="I1082" s="2" t="n">
        <v>48</v>
      </c>
      <c r="J1082" s="2" t="n">
        <v>60</v>
      </c>
      <c r="K1082" s="2" t="n">
        <v>60</v>
      </c>
      <c r="L1082" s="2" t="n">
        <v>29</v>
      </c>
      <c r="M1082" s="2" t="n">
        <v>29</v>
      </c>
      <c r="N1082" s="2" t="n">
        <v>0</v>
      </c>
      <c r="O1082" s="2" t="n">
        <v>0</v>
      </c>
      <c r="P1082" s="2" t="n">
        <v>0</v>
      </c>
      <c r="Q1082" s="2" t="n">
        <v>346</v>
      </c>
      <c r="R1082" s="2" t="n">
        <v>5237</v>
      </c>
      <c r="S1082" s="2" t="n"/>
      <c r="T1082" s="2">
        <f>IF(OR(S1082="",R1082=0),"",ROUND(S1082*R1082,2))</f>
        <v/>
      </c>
      <c r="U1082" s="2" t="inlineStr"/>
    </row>
    <row r="1083">
      <c r="A1083" s="2" t="inlineStr">
        <is>
          <t>R</t>
        </is>
      </c>
      <c r="B1083" s="2" t="inlineStr">
        <is>
          <t>OAS-1C&amp;2C-NC-GE-GN-ELE-EP-1104/2104/3104</t>
        </is>
      </c>
      <c r="C1083" s="2" t="inlineStr">
        <is>
          <t>A</t>
        </is>
      </c>
      <c r="D1083" s="2" t="inlineStr">
        <is>
          <t>Ref. F1</t>
        </is>
      </c>
      <c r="E1083" s="2" t="inlineStr">
        <is>
          <t>No</t>
        </is>
      </c>
      <c r="F1083" s="2" t="n">
        <v>0</v>
      </c>
      <c r="G1083" s="2" t="n">
        <v>0</v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9</v>
      </c>
      <c r="O1083" s="2" t="n">
        <v>0</v>
      </c>
      <c r="P1083" s="2" t="n">
        <v>0</v>
      </c>
      <c r="Q1083" s="2" t="n">
        <v>9</v>
      </c>
      <c r="R1083" s="2" t="n">
        <v>9</v>
      </c>
      <c r="S1083" s="2" t="n"/>
      <c r="T1083" s="2">
        <f>IF(OR(S1083="",R1083=0),"",ROUND(S1083*R1083,2))</f>
        <v/>
      </c>
      <c r="U1083" s="2" t="inlineStr"/>
    </row>
    <row r="1084">
      <c r="A1084" s="2" t="inlineStr">
        <is>
          <t>R</t>
        </is>
      </c>
      <c r="B1084" s="2" t="inlineStr">
        <is>
          <t>OAS-1C&amp;2C-NC-GE-GN-ELE-EP-1104/2104/3104</t>
        </is>
      </c>
      <c r="C1084" s="2" t="inlineStr">
        <is>
          <t>AA</t>
        </is>
      </c>
      <c r="D1084" s="2" t="inlineStr">
        <is>
          <t>LT-07</t>
        </is>
      </c>
      <c r="E1084" s="2" t="inlineStr">
        <is>
          <t>No</t>
        </is>
      </c>
      <c r="F1084" s="2" t="n">
        <v>0</v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n">
        <v>2</v>
      </c>
      <c r="P1084" s="2" t="n">
        <v>0</v>
      </c>
      <c r="Q1084" s="2" t="n">
        <v>2</v>
      </c>
      <c r="R1084" s="2" t="n">
        <v>2</v>
      </c>
      <c r="S1084" s="2" t="n"/>
      <c r="T1084" s="2">
        <f>IF(OR(S1084="",R1084=0),"",ROUND(S1084*R1084,2))</f>
        <v/>
      </c>
      <c r="U1084" s="2" t="inlineStr"/>
    </row>
    <row r="1085">
      <c r="A1085" s="2" t="inlineStr">
        <is>
          <t>R</t>
        </is>
      </c>
      <c r="B1085" s="2" t="inlineStr">
        <is>
          <t>OAS-1C&amp;2C-NC-GE-GN-ELE-EP-1104/2104/3104</t>
        </is>
      </c>
      <c r="C1085" s="2" t="inlineStr">
        <is>
          <t>AB</t>
        </is>
      </c>
      <c r="D1085" s="2" t="inlineStr">
        <is>
          <t>LT-15</t>
        </is>
      </c>
      <c r="E1085" s="2" t="inlineStr">
        <is>
          <t>No</t>
        </is>
      </c>
      <c r="F1085" s="2" t="n">
        <v>0</v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n">
        <v>1</v>
      </c>
      <c r="P1085" s="2" t="n">
        <v>0</v>
      </c>
      <c r="Q1085" s="2" t="n">
        <v>1</v>
      </c>
      <c r="R1085" s="2" t="n">
        <v>1</v>
      </c>
      <c r="S1085" s="2" t="n"/>
      <c r="T1085" s="2">
        <f>IF(OR(S1085="",R1085=0),"",ROUND(S1085*R1085,2))</f>
        <v/>
      </c>
      <c r="U1085" s="2" t="inlineStr"/>
    </row>
    <row r="1086">
      <c r="A1086" s="2" t="inlineStr">
        <is>
          <t>R</t>
        </is>
      </c>
      <c r="B1086" s="2" t="inlineStr">
        <is>
          <t>OAS-1C&amp;2C-NC-GE-GN-ELE-EP-1104/2104/3104</t>
        </is>
      </c>
      <c r="C1086" s="2" t="inlineStr">
        <is>
          <t>AC</t>
        </is>
      </c>
      <c r="D1086" s="2" t="inlineStr">
        <is>
          <t>LT-16</t>
        </is>
      </c>
      <c r="E1086" s="2" t="inlineStr">
        <is>
          <t>No</t>
        </is>
      </c>
      <c r="F1086" s="2" t="n">
        <v>0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n">
        <v>2</v>
      </c>
      <c r="P1086" s="2" t="n">
        <v>0</v>
      </c>
      <c r="Q1086" s="2" t="n">
        <v>2</v>
      </c>
      <c r="R1086" s="2" t="n">
        <v>2</v>
      </c>
      <c r="S1086" s="2" t="n"/>
      <c r="T1086" s="2">
        <f>IF(OR(S1086="",R1086=0),"",ROUND(S1086*R1086,2))</f>
        <v/>
      </c>
      <c r="U1086" s="2" t="inlineStr"/>
    </row>
    <row r="1087">
      <c r="A1087" s="2" t="inlineStr">
        <is>
          <t>R</t>
        </is>
      </c>
      <c r="B1087" s="2" t="inlineStr">
        <is>
          <t>OAS-1C&amp;2C-NC-GE-GN-ELE-EP-1104/2104/3104</t>
        </is>
      </c>
      <c r="C1087" s="2" t="inlineStr">
        <is>
          <t>B</t>
        </is>
      </c>
      <c r="D1087" s="2" t="inlineStr">
        <is>
          <t>50mm Dia uPVC duct / conduit for cables to DB-FFs</t>
        </is>
      </c>
      <c r="E1087" s="2" t="inlineStr">
        <is>
          <t>m</t>
        </is>
      </c>
      <c r="F1087" s="2" t="n">
        <v>54</v>
      </c>
      <c r="G1087" s="2" t="n">
        <v>54</v>
      </c>
      <c r="H1087" s="2" t="n">
        <v>84</v>
      </c>
      <c r="I1087" s="2" t="n">
        <v>84</v>
      </c>
      <c r="J1087" s="2" t="n">
        <v>114</v>
      </c>
      <c r="K1087" s="2" t="n">
        <v>114</v>
      </c>
      <c r="L1087" s="2" t="n">
        <v>5</v>
      </c>
      <c r="M1087" s="2" t="n">
        <v>5</v>
      </c>
      <c r="N1087" s="2" t="n">
        <v>0</v>
      </c>
      <c r="O1087" s="2" t="n">
        <v>0</v>
      </c>
      <c r="P1087" s="2" t="n">
        <v>0</v>
      </c>
      <c r="Q1087" s="2" t="n">
        <v>514</v>
      </c>
      <c r="R1087" s="2" t="n">
        <v>7283</v>
      </c>
      <c r="S1087" s="2" t="n"/>
      <c r="T1087" s="2">
        <f>IF(OR(S1087="",R1087=0),"",ROUND(S1087*R1087,2))</f>
        <v/>
      </c>
      <c r="U1087" s="2" t="inlineStr"/>
    </row>
    <row r="1088">
      <c r="A1088" s="2" t="inlineStr">
        <is>
          <t>R</t>
        </is>
      </c>
      <c r="B1088" s="2" t="inlineStr">
        <is>
          <t>OAS-1C&amp;2C-NC-GE-GN-ELE-EP-1104/2104/3104</t>
        </is>
      </c>
      <c r="C1088" s="2" t="inlineStr">
        <is>
          <t>B</t>
        </is>
      </c>
      <c r="D1088" s="2" t="inlineStr">
        <is>
          <t>Ref. LTA1.2</t>
        </is>
      </c>
      <c r="E1088" s="2" t="inlineStr">
        <is>
          <t>No</t>
        </is>
      </c>
      <c r="F1088" s="2" t="n">
        <v>8</v>
      </c>
      <c r="G1088" s="2" t="n">
        <v>8</v>
      </c>
      <c r="H1088" s="2" t="n">
        <v>12</v>
      </c>
      <c r="I1088" s="2" t="n">
        <v>12</v>
      </c>
      <c r="J1088" s="2" t="n">
        <v>16</v>
      </c>
      <c r="K1088" s="2" t="n">
        <v>16</v>
      </c>
      <c r="L1088" s="2" t="n">
        <v>3</v>
      </c>
      <c r="M1088" s="2" t="n">
        <v>3</v>
      </c>
      <c r="N1088" s="2" t="n">
        <v>0</v>
      </c>
      <c r="O1088" s="2" t="n">
        <v>0</v>
      </c>
      <c r="P1088" s="2" t="n">
        <v>0</v>
      </c>
      <c r="Q1088" s="2" t="n">
        <v>78</v>
      </c>
      <c r="R1088" s="2" t="n">
        <v>1131</v>
      </c>
      <c r="S1088" s="2" t="n"/>
      <c r="T1088" s="2">
        <f>IF(OR(S1088="",R1088=0),"",ROUND(S1088*R1088,2))</f>
        <v/>
      </c>
      <c r="U1088" s="2" t="inlineStr"/>
    </row>
    <row r="1089">
      <c r="A1089" s="2" t="inlineStr">
        <is>
          <t>R</t>
        </is>
      </c>
      <c r="B1089" s="2" t="inlineStr">
        <is>
          <t>OAS-1C&amp;2C-NC-GE-GN-ELE-EP-1104/2104/3104</t>
        </is>
      </c>
      <c r="C1089" s="2" t="inlineStr">
        <is>
          <t>B</t>
        </is>
      </c>
      <c r="D1089" s="2" t="inlineStr">
        <is>
          <t>Ref. F2</t>
        </is>
      </c>
      <c r="E1089" s="2" t="inlineStr">
        <is>
          <t>No</t>
        </is>
      </c>
      <c r="F1089" s="2" t="n">
        <v>0</v>
      </c>
      <c r="G1089" s="2" t="n">
        <v>0</v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7</v>
      </c>
      <c r="O1089" s="2" t="n">
        <v>0</v>
      </c>
      <c r="P1089" s="2" t="n">
        <v>0</v>
      </c>
      <c r="Q1089" s="2" t="n">
        <v>7</v>
      </c>
      <c r="R1089" s="2" t="n">
        <v>7</v>
      </c>
      <c r="S1089" s="2" t="n"/>
      <c r="T1089" s="2">
        <f>IF(OR(S1089="",R1089=0),"",ROUND(S1089*R1089,2))</f>
        <v/>
      </c>
      <c r="U1089" s="2" t="inlineStr"/>
    </row>
    <row r="1090">
      <c r="A1090" s="2" t="inlineStr">
        <is>
          <t>R</t>
        </is>
      </c>
      <c r="B1090" s="2" t="inlineStr">
        <is>
          <t>OAS-1C&amp;2C-NC-GE-GN-ELE-EP-1104/2104/3104</t>
        </is>
      </c>
      <c r="C1090" s="2" t="inlineStr">
        <is>
          <t>B</t>
        </is>
      </c>
      <c r="D1090" s="2" t="inlineStr">
        <is>
          <t>Ref. LTA1.2</t>
        </is>
      </c>
      <c r="E1090" s="2" t="inlineStr">
        <is>
          <t>No</t>
        </is>
      </c>
      <c r="F1090" s="2" t="n">
        <v>8</v>
      </c>
      <c r="G1090" s="2" t="n">
        <v>8</v>
      </c>
      <c r="H1090" s="2" t="n">
        <v>12</v>
      </c>
      <c r="I1090" s="2" t="n">
        <v>12</v>
      </c>
      <c r="J1090" s="2" t="n">
        <v>16</v>
      </c>
      <c r="K1090" s="2" t="n">
        <v>16</v>
      </c>
      <c r="L1090" s="2" t="n">
        <v>3</v>
      </c>
      <c r="M1090" s="2" t="n">
        <v>3</v>
      </c>
      <c r="N1090" s="2" t="n">
        <v>0</v>
      </c>
      <c r="O1090" s="2" t="n">
        <v>0</v>
      </c>
      <c r="P1090" s="2" t="n">
        <v>0</v>
      </c>
      <c r="Q1090" s="2" t="n">
        <v>78</v>
      </c>
      <c r="R1090" s="2" t="n">
        <v>1131</v>
      </c>
      <c r="S1090" s="2" t="n"/>
      <c r="T1090" s="2">
        <f>IF(OR(S1090="",R1090=0),"",ROUND(S1090*R1090,2))</f>
        <v/>
      </c>
      <c r="U1090" s="2" t="inlineStr"/>
    </row>
    <row r="1091">
      <c r="A1091" s="2" t="inlineStr">
        <is>
          <t>R</t>
        </is>
      </c>
      <c r="B1091" s="2" t="inlineStr">
        <is>
          <t>OAS-1C&amp;2C-NC-GE-GN-ELE-EP-1104/2104/3104</t>
        </is>
      </c>
      <c r="C1091" s="2" t="inlineStr">
        <is>
          <t>B</t>
        </is>
      </c>
      <c r="D1091" s="2" t="inlineStr">
        <is>
          <t>Ref. F2</t>
        </is>
      </c>
      <c r="E1091" s="2" t="inlineStr">
        <is>
          <t>No</t>
        </is>
      </c>
      <c r="F1091" s="2" t="n">
        <v>0</v>
      </c>
      <c r="G1091" s="2" t="n">
        <v>0</v>
      </c>
      <c r="H1091" s="2" t="n">
        <v>0</v>
      </c>
      <c r="I1091" s="2" t="n">
        <v>0</v>
      </c>
      <c r="J1091" s="2" t="n">
        <v>0</v>
      </c>
      <c r="K1091" s="2" t="n">
        <v>0</v>
      </c>
      <c r="L1091" s="2" t="n">
        <v>0</v>
      </c>
      <c r="M1091" s="2" t="n">
        <v>0</v>
      </c>
      <c r="N1091" s="2" t="n">
        <v>7</v>
      </c>
      <c r="O1091" s="2" t="n">
        <v>0</v>
      </c>
      <c r="P1091" s="2" t="n">
        <v>0</v>
      </c>
      <c r="Q1091" s="2" t="n">
        <v>7</v>
      </c>
      <c r="R1091" s="2" t="n">
        <v>7</v>
      </c>
      <c r="S1091" s="2" t="n"/>
      <c r="T1091" s="2">
        <f>IF(OR(S1091="",R1091=0),"",ROUND(S1091*R1091,2))</f>
        <v/>
      </c>
      <c r="U1091" s="2" t="inlineStr"/>
    </row>
    <row r="1092">
      <c r="A1092" s="2" t="inlineStr">
        <is>
          <t>R</t>
        </is>
      </c>
      <c r="B1092" s="2" t="inlineStr">
        <is>
          <t>OAS-1C&amp;2C-NC-GE-GN-ELE-EP-1104/2104/3104</t>
        </is>
      </c>
      <c r="C1092" s="2" t="inlineStr">
        <is>
          <t>C</t>
        </is>
      </c>
      <c r="D1092" s="2" t="inlineStr">
        <is>
          <t>50mm Dia uPVC conduit with recessed JB for Swimming pool provision provision</t>
        </is>
      </c>
      <c r="E1092" s="2" t="inlineStr">
        <is>
          <t>m</t>
        </is>
      </c>
      <c r="F1092" s="2" t="n">
        <v>0</v>
      </c>
      <c r="G1092" s="2" t="n">
        <v>0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25</v>
      </c>
      <c r="M1092" s="2" t="n">
        <v>25</v>
      </c>
      <c r="N1092" s="2" t="n">
        <v>0</v>
      </c>
      <c r="O1092" s="2" t="n">
        <v>0</v>
      </c>
      <c r="P1092" s="2" t="n">
        <v>0</v>
      </c>
      <c r="Q1092" s="2" t="n">
        <v>50</v>
      </c>
      <c r="R1092" s="2" t="n">
        <v>925</v>
      </c>
      <c r="S1092" s="2" t="n"/>
      <c r="T1092" s="2">
        <f>IF(OR(S1092="",R1092=0),"",ROUND(S1092*R1092,2))</f>
        <v/>
      </c>
      <c r="U1092" s="2" t="inlineStr"/>
    </row>
    <row r="1093">
      <c r="A1093" s="2" t="inlineStr">
        <is>
          <t>R</t>
        </is>
      </c>
      <c r="B1093" s="2" t="inlineStr">
        <is>
          <t>OAS-1C&amp;2C-NC-GE-GN-ELE-EP-1104/2104/3104</t>
        </is>
      </c>
      <c r="C1093" s="2" t="inlineStr">
        <is>
          <t>C</t>
        </is>
      </c>
      <c r="D1093" s="2" t="inlineStr">
        <is>
          <t>Ref. LTA1.3</t>
        </is>
      </c>
      <c r="E1093" s="2" t="inlineStr">
        <is>
          <t>No</t>
        </is>
      </c>
      <c r="F1093" s="2" t="n">
        <v>30</v>
      </c>
      <c r="G1093" s="2" t="n">
        <v>30</v>
      </c>
      <c r="H1093" s="2" t="n">
        <v>42</v>
      </c>
      <c r="I1093" s="2" t="n">
        <v>42</v>
      </c>
      <c r="J1093" s="2" t="n">
        <v>54</v>
      </c>
      <c r="K1093" s="2" t="n">
        <v>54</v>
      </c>
      <c r="L1093" s="2" t="n">
        <v>30</v>
      </c>
      <c r="M1093" s="2" t="n">
        <v>30</v>
      </c>
      <c r="N1093" s="2" t="n">
        <v>0</v>
      </c>
      <c r="O1093" s="2" t="n">
        <v>0</v>
      </c>
      <c r="P1093" s="2" t="n">
        <v>0</v>
      </c>
      <c r="Q1093" s="2" t="n">
        <v>312</v>
      </c>
      <c r="R1093" s="2" t="n">
        <v>4722</v>
      </c>
      <c r="S1093" s="2" t="n"/>
      <c r="T1093" s="2">
        <f>IF(OR(S1093="",R1093=0),"",ROUND(S1093*R1093,2))</f>
        <v/>
      </c>
      <c r="U1093" s="2" t="inlineStr"/>
    </row>
    <row r="1094">
      <c r="A1094" s="2" t="inlineStr">
        <is>
          <t>R</t>
        </is>
      </c>
      <c r="B1094" s="2" t="inlineStr">
        <is>
          <t>OAS-1C&amp;2C-NC-GE-GN-ELE-EP-1104/2104/3104</t>
        </is>
      </c>
      <c r="C1094" s="2" t="inlineStr">
        <is>
          <t>C</t>
        </is>
      </c>
      <c r="D1094" s="2" t="inlineStr">
        <is>
          <t>Ref. F4</t>
        </is>
      </c>
      <c r="E1094" s="2" t="inlineStr">
        <is>
          <t>No</t>
        </is>
      </c>
      <c r="F1094" s="2" t="n">
        <v>0</v>
      </c>
      <c r="G1094" s="2" t="n">
        <v>0</v>
      </c>
      <c r="H1094" s="2" t="n">
        <v>0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n">
        <v>2</v>
      </c>
      <c r="P1094" s="2" t="n">
        <v>0</v>
      </c>
      <c r="Q1094" s="2" t="n">
        <v>2</v>
      </c>
      <c r="R1094" s="2" t="n">
        <v>2</v>
      </c>
      <c r="S1094" s="2" t="n"/>
      <c r="T1094" s="2">
        <f>IF(OR(S1094="",R1094=0),"",ROUND(S1094*R1094,2))</f>
        <v/>
      </c>
      <c r="U1094" s="2" t="inlineStr"/>
    </row>
    <row r="1095">
      <c r="A1095" s="2" t="inlineStr">
        <is>
          <t>R</t>
        </is>
      </c>
      <c r="B1095" s="2" t="inlineStr">
        <is>
          <t>OAS-1C&amp;2C-NC-GE-GN-ELE-EP-1104/2104/3104</t>
        </is>
      </c>
      <c r="C1095" s="2" t="inlineStr">
        <is>
          <t>C</t>
        </is>
      </c>
      <c r="D1095" s="2" t="inlineStr">
        <is>
          <t>Ref. LTA1.3</t>
        </is>
      </c>
      <c r="E1095" s="2" t="inlineStr">
        <is>
          <t>No</t>
        </is>
      </c>
      <c r="F1095" s="2" t="n">
        <v>30</v>
      </c>
      <c r="G1095" s="2" t="n">
        <v>30</v>
      </c>
      <c r="H1095" s="2" t="n">
        <v>42</v>
      </c>
      <c r="I1095" s="2" t="n">
        <v>42</v>
      </c>
      <c r="J1095" s="2" t="n">
        <v>54</v>
      </c>
      <c r="K1095" s="2" t="n">
        <v>54</v>
      </c>
      <c r="L1095" s="2" t="n">
        <v>30</v>
      </c>
      <c r="M1095" s="2" t="n">
        <v>30</v>
      </c>
      <c r="N1095" s="2" t="n">
        <v>0</v>
      </c>
      <c r="O1095" s="2" t="n">
        <v>0</v>
      </c>
      <c r="P1095" s="2" t="n">
        <v>0</v>
      </c>
      <c r="Q1095" s="2" t="n">
        <v>312</v>
      </c>
      <c r="R1095" s="2" t="n">
        <v>4722</v>
      </c>
      <c r="S1095" s="2" t="n"/>
      <c r="T1095" s="2">
        <f>IF(OR(S1095="",R1095=0),"",ROUND(S1095*R1095,2))</f>
        <v/>
      </c>
      <c r="U1095" s="2" t="inlineStr"/>
    </row>
    <row r="1096">
      <c r="A1096" s="2" t="inlineStr">
        <is>
          <t>R</t>
        </is>
      </c>
      <c r="B1096" s="2" t="inlineStr">
        <is>
          <t>OAS-1C&amp;2C-NC-GE-GN-ELE-EP-1104/2104/3104</t>
        </is>
      </c>
      <c r="C1096" s="2" t="inlineStr">
        <is>
          <t>C</t>
        </is>
      </c>
      <c r="D1096" s="2" t="inlineStr">
        <is>
          <t>LT-01</t>
        </is>
      </c>
      <c r="E1096" s="2" t="inlineStr">
        <is>
          <t>No</t>
        </is>
      </c>
      <c r="F1096" s="2" t="n">
        <v>0</v>
      </c>
      <c r="G1096" s="2" t="n">
        <v>0</v>
      </c>
      <c r="H1096" s="2" t="n">
        <v>0</v>
      </c>
      <c r="I1096" s="2" t="n">
        <v>0</v>
      </c>
      <c r="J1096" s="2" t="n">
        <v>0</v>
      </c>
      <c r="K1096" s="2" t="n">
        <v>0</v>
      </c>
      <c r="L1096" s="2" t="n">
        <v>0</v>
      </c>
      <c r="M1096" s="2" t="n">
        <v>0</v>
      </c>
      <c r="N1096" s="2" t="n">
        <v>18</v>
      </c>
      <c r="O1096" s="2" t="n">
        <v>0</v>
      </c>
      <c r="P1096" s="2" t="n">
        <v>0</v>
      </c>
      <c r="Q1096" s="2" t="n">
        <v>18</v>
      </c>
      <c r="R1096" s="2" t="n">
        <v>18</v>
      </c>
      <c r="S1096" s="2" t="n"/>
      <c r="T1096" s="2">
        <f>IF(OR(S1096="",R1096=0),"",ROUND(S1096*R1096,2))</f>
        <v/>
      </c>
      <c r="U1096" s="2" t="inlineStr"/>
    </row>
    <row r="1097">
      <c r="A1097" s="2" t="inlineStr">
        <is>
          <t>R</t>
        </is>
      </c>
      <c r="B1097" s="2" t="inlineStr">
        <is>
          <t>OAS-1C&amp;2C-NC-GE-GN-ELE-EP-1104/2104/3104</t>
        </is>
      </c>
      <c r="C1097" s="2" t="inlineStr">
        <is>
          <t>D</t>
        </is>
      </c>
      <c r="D1097" s="2" t="inlineStr">
        <is>
          <t>25mm to 32mm Dia uPVC conduit with recessed JB for EV charger provision</t>
        </is>
      </c>
      <c r="E1097" s="2" t="inlineStr">
        <is>
          <t>m</t>
        </is>
      </c>
      <c r="F1097" s="2" t="n">
        <v>36</v>
      </c>
      <c r="G1097" s="2" t="n">
        <v>36</v>
      </c>
      <c r="H1097" s="2" t="n">
        <v>54</v>
      </c>
      <c r="I1097" s="2" t="n">
        <v>54</v>
      </c>
      <c r="J1097" s="2" t="n">
        <v>72</v>
      </c>
      <c r="K1097" s="2" t="n">
        <v>72</v>
      </c>
      <c r="L1097" s="2" t="n">
        <v>7</v>
      </c>
      <c r="M1097" s="2" t="n">
        <v>7</v>
      </c>
      <c r="N1097" s="2" t="n">
        <v>0</v>
      </c>
      <c r="O1097" s="2" t="n">
        <v>0</v>
      </c>
      <c r="P1097" s="2" t="n">
        <v>0</v>
      </c>
      <c r="Q1097" s="2" t="n">
        <v>338</v>
      </c>
      <c r="R1097" s="2" t="n">
        <v>4849</v>
      </c>
      <c r="S1097" s="2" t="n"/>
      <c r="T1097" s="2">
        <f>IF(OR(S1097="",R1097=0),"",ROUND(S1097*R1097,2))</f>
        <v/>
      </c>
      <c r="U1097" s="2" t="inlineStr"/>
    </row>
    <row r="1098">
      <c r="A1098" s="2" t="inlineStr">
        <is>
          <t>R</t>
        </is>
      </c>
      <c r="B1098" s="2" t="inlineStr">
        <is>
          <t>OAS-1C&amp;2C-NC-GE-GN-ELE-EP-1104/2104/3104</t>
        </is>
      </c>
      <c r="C1098" s="2" t="inlineStr">
        <is>
          <t>D</t>
        </is>
      </c>
      <c r="D1098" s="2" t="inlineStr">
        <is>
          <t>Ref. LTA1.4</t>
        </is>
      </c>
      <c r="E1098" s="2" t="inlineStr">
        <is>
          <t>No</t>
        </is>
      </c>
      <c r="F1098" s="2" t="n">
        <v>16</v>
      </c>
      <c r="G1098" s="2" t="n">
        <v>16</v>
      </c>
      <c r="H1098" s="2" t="n">
        <v>22</v>
      </c>
      <c r="I1098" s="2" t="n">
        <v>22</v>
      </c>
      <c r="J1098" s="2" t="n">
        <v>28</v>
      </c>
      <c r="K1098" s="2" t="n">
        <v>28</v>
      </c>
      <c r="L1098" s="2" t="n">
        <v>7</v>
      </c>
      <c r="M1098" s="2" t="n">
        <v>7</v>
      </c>
      <c r="N1098" s="2" t="n">
        <v>0</v>
      </c>
      <c r="O1098" s="2" t="n">
        <v>0</v>
      </c>
      <c r="P1098" s="2" t="n">
        <v>0</v>
      </c>
      <c r="Q1098" s="2" t="n">
        <v>146</v>
      </c>
      <c r="R1098" s="2" t="n">
        <v>2157</v>
      </c>
      <c r="S1098" s="2" t="n"/>
      <c r="T1098" s="2">
        <f>IF(OR(S1098="",R1098=0),"",ROUND(S1098*R1098,2))</f>
        <v/>
      </c>
      <c r="U1098" s="2" t="inlineStr"/>
    </row>
    <row r="1099">
      <c r="A1099" s="2" t="inlineStr">
        <is>
          <t>R</t>
        </is>
      </c>
      <c r="B1099" s="2" t="inlineStr">
        <is>
          <t>OAS-1C&amp;2C-NC-GE-GN-ELE-EP-1104/2104/3104</t>
        </is>
      </c>
      <c r="C1099" s="2" t="inlineStr">
        <is>
          <t>D</t>
        </is>
      </c>
      <c r="D1099" s="2" t="inlineStr">
        <is>
          <t>LT-01</t>
        </is>
      </c>
      <c r="E1099" s="2" t="inlineStr">
        <is>
          <t>No</t>
        </is>
      </c>
      <c r="F1099" s="2" t="n">
        <v>0</v>
      </c>
      <c r="G1099" s="2" t="n">
        <v>0</v>
      </c>
      <c r="H1099" s="2" t="n">
        <v>0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0</v>
      </c>
      <c r="N1099" s="2" t="n">
        <v>18</v>
      </c>
      <c r="O1099" s="2" t="n">
        <v>0</v>
      </c>
      <c r="P1099" s="2" t="n">
        <v>0</v>
      </c>
      <c r="Q1099" s="2" t="n">
        <v>18</v>
      </c>
      <c r="R1099" s="2" t="n">
        <v>18</v>
      </c>
      <c r="S1099" s="2" t="n"/>
      <c r="T1099" s="2">
        <f>IF(OR(S1099="",R1099=0),"",ROUND(S1099*R1099,2))</f>
        <v/>
      </c>
      <c r="U1099" s="2" t="inlineStr"/>
    </row>
    <row r="1100">
      <c r="A1100" s="2" t="inlineStr">
        <is>
          <t>R</t>
        </is>
      </c>
      <c r="B1100" s="2" t="inlineStr">
        <is>
          <t>OAS-1C&amp;2C-NC-GE-GN-ELE-EP-1104/2104/3104</t>
        </is>
      </c>
      <c r="C1100" s="2" t="inlineStr">
        <is>
          <t>D</t>
        </is>
      </c>
      <c r="D1100" s="2" t="inlineStr">
        <is>
          <t>Ref. LTA1.4</t>
        </is>
      </c>
      <c r="E1100" s="2" t="inlineStr">
        <is>
          <t>No</t>
        </is>
      </c>
      <c r="F1100" s="2" t="n">
        <v>16</v>
      </c>
      <c r="G1100" s="2" t="n">
        <v>16</v>
      </c>
      <c r="H1100" s="2" t="n">
        <v>22</v>
      </c>
      <c r="I1100" s="2" t="n">
        <v>22</v>
      </c>
      <c r="J1100" s="2" t="n">
        <v>28</v>
      </c>
      <c r="K1100" s="2" t="n">
        <v>28</v>
      </c>
      <c r="L1100" s="2" t="n">
        <v>7</v>
      </c>
      <c r="M1100" s="2" t="n">
        <v>7</v>
      </c>
      <c r="N1100" s="2" t="n">
        <v>0</v>
      </c>
      <c r="O1100" s="2" t="n">
        <v>0</v>
      </c>
      <c r="P1100" s="2" t="n">
        <v>0</v>
      </c>
      <c r="Q1100" s="2" t="n">
        <v>146</v>
      </c>
      <c r="R1100" s="2" t="n">
        <v>2157</v>
      </c>
      <c r="S1100" s="2" t="n"/>
      <c r="T1100" s="2">
        <f>IF(OR(S1100="",R1100=0),"",ROUND(S1100*R1100,2))</f>
        <v/>
      </c>
      <c r="U1100" s="2" t="inlineStr"/>
    </row>
    <row r="1101">
      <c r="A1101" s="2" t="inlineStr">
        <is>
          <t>R</t>
        </is>
      </c>
      <c r="B1101" s="2" t="inlineStr">
        <is>
          <t>OAS-1C&amp;2C-NC-GE-GN-ELE-EP-1104/2104/3104</t>
        </is>
      </c>
      <c r="C1101" s="2" t="inlineStr">
        <is>
          <t>D</t>
        </is>
      </c>
      <c r="D1101" s="2" t="inlineStr">
        <is>
          <t>Cabling to central monitoring panel</t>
        </is>
      </c>
      <c r="E1101" s="2" t="inlineStr">
        <is>
          <t>Item</t>
        </is>
      </c>
      <c r="F1101" s="2" t="n">
        <v>0</v>
      </c>
      <c r="G1101" s="2" t="n">
        <v>0</v>
      </c>
      <c r="H1101" s="2" t="n">
        <v>0</v>
      </c>
      <c r="I1101" s="2" t="n">
        <v>0</v>
      </c>
      <c r="J1101" s="2" t="n">
        <v>0</v>
      </c>
      <c r="K1101" s="2" t="n">
        <v>0</v>
      </c>
      <c r="L1101" s="2" t="n">
        <v>0</v>
      </c>
      <c r="M1101" s="2" t="n">
        <v>0</v>
      </c>
      <c r="N1101" s="2" t="n">
        <v>1</v>
      </c>
      <c r="O1101" s="2" t="n">
        <v>0</v>
      </c>
      <c r="P1101" s="2" t="n">
        <v>0</v>
      </c>
      <c r="Q1101" s="2" t="n">
        <v>1</v>
      </c>
      <c r="R1101" s="2" t="n">
        <v>1</v>
      </c>
      <c r="S1101" s="2" t="n"/>
      <c r="T1101" s="2">
        <f>IF(OR(S1101="",R1101=0),"",ROUND(S1101*R1101,2))</f>
        <v/>
      </c>
      <c r="U1101" s="2" t="inlineStr"/>
    </row>
    <row r="1102">
      <c r="A1102" s="2" t="inlineStr">
        <is>
          <t>R</t>
        </is>
      </c>
      <c r="B1102" s="2" t="inlineStr">
        <is>
          <t>OAS-1C&amp;2C-NC-GE-GN-ELE-EP-1104/2104/3104</t>
        </is>
      </c>
      <c r="C1102" s="2" t="inlineStr">
        <is>
          <t>E</t>
        </is>
      </c>
      <c r="D1102" s="2" t="inlineStr">
        <is>
          <t>25mm Dia uPVC conduit with recessed JB for Rolling shutter provision</t>
        </is>
      </c>
      <c r="E1102" s="2" t="inlineStr">
        <is>
          <t>m</t>
        </is>
      </c>
      <c r="F1102" s="2" t="n">
        <v>0</v>
      </c>
      <c r="G1102" s="2" t="n">
        <v>0</v>
      </c>
      <c r="H1102" s="2" t="n">
        <v>0</v>
      </c>
      <c r="I1102" s="2" t="n">
        <v>0</v>
      </c>
      <c r="J1102" s="2" t="n">
        <v>0</v>
      </c>
      <c r="K1102" s="2" t="n">
        <v>0</v>
      </c>
      <c r="L1102" s="2" t="n">
        <v>14</v>
      </c>
      <c r="M1102" s="2" t="n">
        <v>14</v>
      </c>
      <c r="N1102" s="2" t="n">
        <v>0</v>
      </c>
      <c r="O1102" s="2" t="n">
        <v>0</v>
      </c>
      <c r="P1102" s="2" t="n">
        <v>0</v>
      </c>
      <c r="Q1102" s="2" t="n">
        <v>28</v>
      </c>
      <c r="R1102" s="2" t="n">
        <v>518</v>
      </c>
      <c r="S1102" s="2" t="n"/>
      <c r="T1102" s="2">
        <f>IF(OR(S1102="",R1102=0),"",ROUND(S1102*R1102,2))</f>
        <v/>
      </c>
      <c r="U1102" s="2" t="inlineStr"/>
    </row>
    <row r="1103">
      <c r="A1103" s="2" t="inlineStr">
        <is>
          <t>R</t>
        </is>
      </c>
      <c r="B1103" s="2" t="inlineStr">
        <is>
          <t>OAS-1C&amp;2C-NC-GE-GN-ELE-EP-1104/2104/3104</t>
        </is>
      </c>
      <c r="C1103" s="2" t="inlineStr">
        <is>
          <t>E</t>
        </is>
      </c>
      <c r="D1103" s="2" t="inlineStr">
        <is>
          <t>Flex Outlet</t>
        </is>
      </c>
      <c r="E1103" s="2" t="inlineStr">
        <is>
          <t>No</t>
        </is>
      </c>
      <c r="F1103" s="2" t="n">
        <v>16</v>
      </c>
      <c r="G1103" s="2" t="n">
        <v>16</v>
      </c>
      <c r="H1103" s="2" t="n">
        <v>24</v>
      </c>
      <c r="I1103" s="2" t="n">
        <v>24</v>
      </c>
      <c r="J1103" s="2" t="n">
        <v>32</v>
      </c>
      <c r="K1103" s="2" t="n">
        <v>32</v>
      </c>
      <c r="L1103" s="2" t="n">
        <v>5</v>
      </c>
      <c r="M1103" s="2" t="n">
        <v>5</v>
      </c>
      <c r="N1103" s="2" t="n">
        <v>3</v>
      </c>
      <c r="O1103" s="2" t="n">
        <v>0</v>
      </c>
      <c r="P1103" s="2" t="n">
        <v>0</v>
      </c>
      <c r="Q1103" s="2" t="n">
        <v>157</v>
      </c>
      <c r="R1103" s="2" t="n">
        <v>2228</v>
      </c>
      <c r="S1103" s="2" t="n"/>
      <c r="T1103" s="2">
        <f>IF(OR(S1103="",R1103=0),"",ROUND(S1103*R1103,2))</f>
        <v/>
      </c>
      <c r="U1103" s="2" t="inlineStr"/>
    </row>
    <row r="1104">
      <c r="A1104" s="2" t="inlineStr">
        <is>
          <t>R</t>
        </is>
      </c>
      <c r="B1104" s="2" t="inlineStr">
        <is>
          <t>OAS-1C&amp;2C-NC-GE-GN-ELE-EP-1104/2104/3104</t>
        </is>
      </c>
      <c r="C1104" s="2" t="inlineStr">
        <is>
          <t>E</t>
        </is>
      </c>
      <c r="D1104" s="2" t="inlineStr">
        <is>
          <t>Flex Outlet</t>
        </is>
      </c>
      <c r="E1104" s="2" t="inlineStr">
        <is>
          <t>No</t>
        </is>
      </c>
      <c r="F1104" s="2" t="n">
        <v>16</v>
      </c>
      <c r="G1104" s="2" t="n">
        <v>16</v>
      </c>
      <c r="H1104" s="2" t="n">
        <v>24</v>
      </c>
      <c r="I1104" s="2" t="n">
        <v>24</v>
      </c>
      <c r="J1104" s="2" t="n">
        <v>32</v>
      </c>
      <c r="K1104" s="2" t="n">
        <v>32</v>
      </c>
      <c r="L1104" s="2" t="n">
        <v>5</v>
      </c>
      <c r="M1104" s="2" t="n">
        <v>5</v>
      </c>
      <c r="N1104" s="2" t="n">
        <v>3</v>
      </c>
      <c r="O1104" s="2" t="n">
        <v>0</v>
      </c>
      <c r="P1104" s="2" t="n">
        <v>0</v>
      </c>
      <c r="Q1104" s="2" t="n">
        <v>157</v>
      </c>
      <c r="R1104" s="2" t="n">
        <v>2228</v>
      </c>
      <c r="S1104" s="2" t="n"/>
      <c r="T1104" s="2">
        <f>IF(OR(S1104="",R1104=0),"",ROUND(S1104*R1104,2))</f>
        <v/>
      </c>
      <c r="U1104" s="2" t="inlineStr"/>
    </row>
    <row r="1105">
      <c r="A1105" s="2" t="inlineStr">
        <is>
          <t>R</t>
        </is>
      </c>
      <c r="B1105" s="2" t="inlineStr">
        <is>
          <t>OAS-1C&amp;2C-NC-GE-GN-ELE-EP-1104/2104/3104</t>
        </is>
      </c>
      <c r="C1105" s="2" t="inlineStr">
        <is>
          <t>E</t>
        </is>
      </c>
      <c r="D1105" s="2" t="inlineStr">
        <is>
          <t>LT-02</t>
        </is>
      </c>
      <c r="E1105" s="2" t="inlineStr">
        <is>
          <t>No</t>
        </is>
      </c>
      <c r="F1105" s="2" t="n">
        <v>0</v>
      </c>
      <c r="G1105" s="2" t="n">
        <v>0</v>
      </c>
      <c r="H1105" s="2" t="n">
        <v>0</v>
      </c>
      <c r="I1105" s="2" t="n">
        <v>0</v>
      </c>
      <c r="J1105" s="2" t="n">
        <v>0</v>
      </c>
      <c r="K1105" s="2" t="n">
        <v>0</v>
      </c>
      <c r="L1105" s="2" t="n">
        <v>0</v>
      </c>
      <c r="M1105" s="2" t="n">
        <v>0</v>
      </c>
      <c r="N1105" s="2" t="n">
        <v>21</v>
      </c>
      <c r="O1105" s="2" t="n">
        <v>1</v>
      </c>
      <c r="P1105" s="2" t="n">
        <v>0</v>
      </c>
      <c r="Q1105" s="2" t="n">
        <v>22</v>
      </c>
      <c r="R1105" s="2" t="n">
        <v>22</v>
      </c>
      <c r="S1105" s="2" t="n"/>
      <c r="T1105" s="2">
        <f>IF(OR(S1105="",R1105=0),"",ROUND(S1105*R1105,2))</f>
        <v/>
      </c>
      <c r="U1105" s="2" t="inlineStr"/>
    </row>
    <row r="1106">
      <c r="A1106" s="2" t="inlineStr">
        <is>
          <t>R</t>
        </is>
      </c>
      <c r="B1106" s="2" t="inlineStr">
        <is>
          <t>OAS-1C&amp;2C-NC-GE-GN-ELE-EP-1104/2104/3104</t>
        </is>
      </c>
      <c r="C1106" s="2" t="inlineStr">
        <is>
          <t>E</t>
        </is>
      </c>
      <c r="D1106" s="2" t="inlineStr">
        <is>
          <t>Ref. LT-03a, LED decorative tube</t>
        </is>
      </c>
      <c r="E1106" s="2" t="inlineStr">
        <is>
          <t>No</t>
        </is>
      </c>
      <c r="F1106" s="2" t="n">
        <v>0</v>
      </c>
      <c r="G1106" s="2" t="n">
        <v>0</v>
      </c>
      <c r="H1106" s="2" t="n">
        <v>0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3</v>
      </c>
      <c r="O1106" s="2" t="n">
        <v>0</v>
      </c>
      <c r="P1106" s="2" t="n">
        <v>0</v>
      </c>
      <c r="Q1106" s="2" t="n">
        <v>3</v>
      </c>
      <c r="R1106" s="2" t="n">
        <v>3</v>
      </c>
      <c r="S1106" s="2" t="n"/>
      <c r="T1106" s="2">
        <f>IF(OR(S1106="",R1106=0),"",ROUND(S1106*R1106,2))</f>
        <v/>
      </c>
      <c r="U1106" s="2" t="inlineStr"/>
    </row>
    <row r="1107">
      <c r="A1107" s="2" t="inlineStr">
        <is>
          <t>R</t>
        </is>
      </c>
      <c r="B1107" s="2" t="inlineStr">
        <is>
          <t>OAS-1C&amp;2C-NC-GE-GN-ELE-EP-1104/2104/3104</t>
        </is>
      </c>
      <c r="C1107" s="2" t="inlineStr">
        <is>
          <t>F</t>
        </is>
      </c>
      <c r="D1107" s="2" t="inlineStr">
        <is>
          <t>25mm Dia uPVC duct for IMS (water meter)</t>
        </is>
      </c>
      <c r="E1107" s="2" t="inlineStr">
        <is>
          <t>m</t>
        </is>
      </c>
      <c r="F1107" s="2" t="n">
        <v>40</v>
      </c>
      <c r="G1107" s="2" t="n">
        <v>40</v>
      </c>
      <c r="H1107" s="2" t="n">
        <v>56</v>
      </c>
      <c r="I1107" s="2" t="n">
        <v>56</v>
      </c>
      <c r="J1107" s="2" t="n">
        <v>72</v>
      </c>
      <c r="K1107" s="2" t="n">
        <v>72</v>
      </c>
      <c r="L1107" s="2" t="n">
        <v>15</v>
      </c>
      <c r="M1107" s="2" t="n">
        <v>15</v>
      </c>
      <c r="N1107" s="2" t="n">
        <v>0</v>
      </c>
      <c r="O1107" s="2" t="n">
        <v>0</v>
      </c>
      <c r="P1107" s="2" t="n">
        <v>0</v>
      </c>
      <c r="Q1107" s="2" t="n">
        <v>366</v>
      </c>
      <c r="R1107" s="2" t="n">
        <v>5371</v>
      </c>
      <c r="S1107" s="2" t="n"/>
      <c r="T1107" s="2">
        <f>IF(OR(S1107="",R1107=0),"",ROUND(S1107*R1107,2))</f>
        <v/>
      </c>
      <c r="U1107" s="2" t="inlineStr"/>
    </row>
    <row r="1108">
      <c r="A1108" s="2" t="inlineStr">
        <is>
          <t>R</t>
        </is>
      </c>
      <c r="B1108" s="2" t="inlineStr">
        <is>
          <t>OAS-1C&amp;2C-NC-GE-GN-ELE-EP-1104/2104/3104</t>
        </is>
      </c>
      <c r="C1108" s="2" t="inlineStr">
        <is>
          <t>F</t>
        </is>
      </c>
      <c r="D1108" s="2" t="inlineStr">
        <is>
          <t>Ref. LT-04</t>
        </is>
      </c>
      <c r="E1108" s="2" t="inlineStr">
        <is>
          <t>No.</t>
        </is>
      </c>
      <c r="F1108" s="2" t="n">
        <v>0</v>
      </c>
      <c r="G1108" s="2" t="n">
        <v>0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</v>
      </c>
      <c r="N1108" s="2" t="n">
        <v>27</v>
      </c>
      <c r="O1108" s="2" t="n">
        <v>0</v>
      </c>
      <c r="P1108" s="2" t="n">
        <v>0</v>
      </c>
      <c r="Q1108" s="2" t="n">
        <v>27</v>
      </c>
      <c r="R1108" s="2" t="n">
        <v>27</v>
      </c>
      <c r="S1108" s="2" t="n"/>
      <c r="T1108" s="2">
        <f>IF(OR(S1108="",R1108=0),"",ROUND(S1108*R1108,2))</f>
        <v/>
      </c>
      <c r="U1108" s="2" t="inlineStr"/>
    </row>
    <row r="1109">
      <c r="A1109" s="2" t="inlineStr">
        <is>
          <t>R</t>
        </is>
      </c>
      <c r="B1109" s="2" t="inlineStr">
        <is>
          <t>OAS-1C&amp;2C-NC-GE-GN-ELE-EP-1104/2104/3104</t>
        </is>
      </c>
      <c r="C1109" s="2" t="inlineStr">
        <is>
          <t>G</t>
        </is>
      </c>
      <c r="D1109" s="2" t="inlineStr">
        <is>
          <t>Allow uPVC duct for main incoming cables from DEWA / infra network</t>
        </is>
      </c>
      <c r="E1109" s="2" t="inlineStr">
        <is>
          <t>m</t>
        </is>
      </c>
      <c r="F1109" s="2" t="n">
        <v>24</v>
      </c>
      <c r="G1109" s="2" t="n">
        <v>24</v>
      </c>
      <c r="H1109" s="2" t="n">
        <v>36</v>
      </c>
      <c r="I1109" s="2" t="n">
        <v>36</v>
      </c>
      <c r="J1109" s="2" t="n">
        <v>48</v>
      </c>
      <c r="K1109" s="2" t="n">
        <v>48</v>
      </c>
      <c r="L1109" s="2" t="n">
        <v>6</v>
      </c>
      <c r="M1109" s="2" t="n">
        <v>6</v>
      </c>
      <c r="N1109" s="2" t="n">
        <v>0</v>
      </c>
      <c r="O1109" s="2" t="n">
        <v>6</v>
      </c>
      <c r="P1109" s="2" t="n">
        <v>0</v>
      </c>
      <c r="Q1109" s="2" t="n">
        <v>234</v>
      </c>
      <c r="R1109" s="2" t="n">
        <v>3288</v>
      </c>
      <c r="S1109" s="2" t="n"/>
      <c r="T1109" s="2">
        <f>IF(OR(S1109="",R1109=0),"",ROUND(S1109*R1109,2))</f>
        <v/>
      </c>
      <c r="U1109" s="2" t="inlineStr"/>
    </row>
    <row r="1110">
      <c r="A1110" s="2" t="inlineStr">
        <is>
          <t>R</t>
        </is>
      </c>
      <c r="B1110" s="2" t="inlineStr">
        <is>
          <t>OAS-1C&amp;2C-NC-GE-GN-ELE-EP-1104/2104/3104</t>
        </is>
      </c>
      <c r="C1110" s="2" t="inlineStr">
        <is>
          <t>G</t>
        </is>
      </c>
      <c r="D1110" s="2" t="inlineStr">
        <is>
          <t>Ref. LTA3.1</t>
        </is>
      </c>
      <c r="E1110" s="2" t="inlineStr">
        <is>
          <t>No</t>
        </is>
      </c>
      <c r="F1110" s="2" t="n">
        <v>22</v>
      </c>
      <c r="G1110" s="2" t="n">
        <v>22</v>
      </c>
      <c r="H1110" s="2" t="n">
        <v>32</v>
      </c>
      <c r="I1110" s="2" t="n">
        <v>32</v>
      </c>
      <c r="J1110" s="2" t="n">
        <v>42</v>
      </c>
      <c r="K1110" s="2" t="n">
        <v>42</v>
      </c>
      <c r="L1110" s="2" t="n">
        <v>8</v>
      </c>
      <c r="M1110" s="2" t="n">
        <v>8</v>
      </c>
      <c r="N1110" s="2" t="n">
        <v>0</v>
      </c>
      <c r="O1110" s="2" t="n">
        <v>0</v>
      </c>
      <c r="P1110" s="2" t="n">
        <v>0</v>
      </c>
      <c r="Q1110" s="2" t="n">
        <v>208</v>
      </c>
      <c r="R1110" s="2" t="n">
        <v>3030</v>
      </c>
      <c r="S1110" s="2" t="n"/>
      <c r="T1110" s="2">
        <f>IF(OR(S1110="",R1110=0),"",ROUND(S1110*R1110,2))</f>
        <v/>
      </c>
      <c r="U1110" s="2" t="inlineStr"/>
    </row>
    <row r="1111">
      <c r="A1111" s="2" t="inlineStr">
        <is>
          <t>R</t>
        </is>
      </c>
      <c r="B1111" s="2" t="inlineStr">
        <is>
          <t>OAS-1C&amp;2C-NC-GE-GN-ELE-EP-1104/2104/3104</t>
        </is>
      </c>
      <c r="C1111" s="2" t="inlineStr">
        <is>
          <t>G</t>
        </is>
      </c>
      <c r="D1111" s="2" t="inlineStr">
        <is>
          <t>Ref. LT-03a, LED decorative tube</t>
        </is>
      </c>
      <c r="E1111" s="2" t="inlineStr">
        <is>
          <t>No</t>
        </is>
      </c>
      <c r="F1111" s="2" t="n">
        <v>0</v>
      </c>
      <c r="G1111" s="2" t="n">
        <v>0</v>
      </c>
      <c r="H1111" s="2" t="n">
        <v>0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3</v>
      </c>
      <c r="O1111" s="2" t="n">
        <v>0</v>
      </c>
      <c r="P1111" s="2" t="n">
        <v>0</v>
      </c>
      <c r="Q1111" s="2" t="n">
        <v>3</v>
      </c>
      <c r="R1111" s="2" t="n">
        <v>3</v>
      </c>
      <c r="S1111" s="2" t="n"/>
      <c r="T1111" s="2">
        <f>IF(OR(S1111="",R1111=0),"",ROUND(S1111*R1111,2))</f>
        <v/>
      </c>
      <c r="U1111" s="2" t="inlineStr"/>
    </row>
    <row r="1112">
      <c r="A1112" s="2" t="inlineStr">
        <is>
          <t>R</t>
        </is>
      </c>
      <c r="B1112" s="2" t="inlineStr">
        <is>
          <t>OAS-1C&amp;2C-NC-GE-GN-ELE-EP-1104/2104/3104</t>
        </is>
      </c>
      <c r="C1112" s="2" t="inlineStr">
        <is>
          <t>G</t>
        </is>
      </c>
      <c r="D1112" s="2" t="inlineStr">
        <is>
          <t>Ref. LTA3.1</t>
        </is>
      </c>
      <c r="E1112" s="2" t="inlineStr">
        <is>
          <t>No</t>
        </is>
      </c>
      <c r="F1112" s="2" t="n">
        <v>22</v>
      </c>
      <c r="G1112" s="2" t="n">
        <v>22</v>
      </c>
      <c r="H1112" s="2" t="n">
        <v>32</v>
      </c>
      <c r="I1112" s="2" t="n">
        <v>32</v>
      </c>
      <c r="J1112" s="2" t="n">
        <v>42</v>
      </c>
      <c r="K1112" s="2" t="n">
        <v>42</v>
      </c>
      <c r="L1112" s="2" t="n">
        <v>8</v>
      </c>
      <c r="M1112" s="2" t="n">
        <v>8</v>
      </c>
      <c r="N1112" s="2" t="n">
        <v>0</v>
      </c>
      <c r="O1112" s="2" t="n">
        <v>0</v>
      </c>
      <c r="P1112" s="2" t="n">
        <v>0</v>
      </c>
      <c r="Q1112" s="2" t="n">
        <v>208</v>
      </c>
      <c r="R1112" s="2" t="n">
        <v>3030</v>
      </c>
      <c r="S1112" s="2" t="n"/>
      <c r="T1112" s="2">
        <f>IF(OR(S1112="",R1112=0),"",ROUND(S1112*R1112,2))</f>
        <v/>
      </c>
      <c r="U1112" s="2" t="inlineStr"/>
    </row>
    <row r="1113">
      <c r="A1113" s="2" t="inlineStr">
        <is>
          <t>R</t>
        </is>
      </c>
      <c r="B1113" s="2" t="inlineStr">
        <is>
          <t>OAS-1C&amp;2C-NC-GE-GN-ELE-EP-1104/2104/3104</t>
        </is>
      </c>
      <c r="C1113" s="2" t="inlineStr">
        <is>
          <t>G</t>
        </is>
      </c>
      <c r="D1113" s="2" t="inlineStr">
        <is>
          <t>LT-05</t>
        </is>
      </c>
      <c r="E1113" s="2" t="inlineStr">
        <is>
          <t>No.</t>
        </is>
      </c>
      <c r="F1113" s="2" t="n">
        <v>0</v>
      </c>
      <c r="G1113" s="2" t="n">
        <v>0</v>
      </c>
      <c r="H1113" s="2" t="n">
        <v>0</v>
      </c>
      <c r="I1113" s="2" t="n">
        <v>0</v>
      </c>
      <c r="J1113" s="2" t="n">
        <v>0</v>
      </c>
      <c r="K1113" s="2" t="n">
        <v>0</v>
      </c>
      <c r="L1113" s="2" t="n">
        <v>0</v>
      </c>
      <c r="M1113" s="2" t="n">
        <v>0</v>
      </c>
      <c r="N1113" s="2" t="n">
        <v>20</v>
      </c>
      <c r="O1113" s="2" t="n">
        <v>0</v>
      </c>
      <c r="P1113" s="2" t="n">
        <v>0</v>
      </c>
      <c r="Q1113" s="2" t="n">
        <v>20</v>
      </c>
      <c r="R1113" s="2" t="n">
        <v>20</v>
      </c>
      <c r="S1113" s="2" t="n"/>
      <c r="T1113" s="2">
        <f>IF(OR(S1113="",R1113=0),"",ROUND(S1113*R1113,2))</f>
        <v/>
      </c>
      <c r="U1113" s="2" t="inlineStr"/>
    </row>
    <row r="1114">
      <c r="A1114" s="2" t="inlineStr">
        <is>
          <t>R</t>
        </is>
      </c>
      <c r="B1114" s="2" t="inlineStr">
        <is>
          <t>OAS-1C&amp;2C-NC-GE-GN-ELE-EP-1104/2104/3104</t>
        </is>
      </c>
      <c r="C1114" s="2" t="inlineStr">
        <is>
          <t>H</t>
        </is>
      </c>
      <c r="D1114" s="2" t="inlineStr">
        <is>
          <t>2Cx4 SQ.mm XLPE/SWA/PVC/Cu+1Cx4 SQ.mm PVC/Cu ECC</t>
        </is>
      </c>
      <c r="E1114" s="2" t="inlineStr">
        <is>
          <t>m</t>
        </is>
      </c>
      <c r="F1114" s="2" t="n">
        <v>0</v>
      </c>
      <c r="G1114" s="2" t="n">
        <v>0</v>
      </c>
      <c r="H1114" s="2" t="n">
        <v>0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0</v>
      </c>
      <c r="N1114" s="2" t="n">
        <v>91</v>
      </c>
      <c r="O1114" s="2" t="n">
        <v>52</v>
      </c>
      <c r="P1114" s="2" t="n">
        <v>0</v>
      </c>
      <c r="Q1114" s="2" t="n">
        <v>143</v>
      </c>
      <c r="R1114" s="2" t="n">
        <v>143</v>
      </c>
      <c r="S1114" s="2" t="n"/>
      <c r="T1114" s="2">
        <f>IF(OR(S1114="",R1114=0),"",ROUND(S1114*R1114,2))</f>
        <v/>
      </c>
      <c r="U1114" s="2" t="inlineStr"/>
    </row>
    <row r="1115">
      <c r="A1115" s="2" t="inlineStr">
        <is>
          <t>R</t>
        </is>
      </c>
      <c r="B1115" s="2" t="inlineStr">
        <is>
          <t>OAS-1C&amp;2C-NC-GE-GN-ELE-EP-1104/2104/3104</t>
        </is>
      </c>
      <c r="C1115" s="2" t="inlineStr">
        <is>
          <t>H</t>
        </is>
      </c>
      <c r="D1115" s="2" t="inlineStr">
        <is>
          <t>Ref. LTA3.2</t>
        </is>
      </c>
      <c r="E1115" s="2" t="inlineStr">
        <is>
          <t>No</t>
        </is>
      </c>
      <c r="F1115" s="2" t="n">
        <v>4</v>
      </c>
      <c r="G1115" s="2" t="n">
        <v>4</v>
      </c>
      <c r="H1115" s="2" t="n">
        <v>6</v>
      </c>
      <c r="I1115" s="2" t="n">
        <v>6</v>
      </c>
      <c r="J1115" s="2" t="n">
        <v>8</v>
      </c>
      <c r="K1115" s="2" t="n">
        <v>8</v>
      </c>
      <c r="L1115" s="2" t="n">
        <v>2</v>
      </c>
      <c r="M1115" s="2" t="n">
        <v>2</v>
      </c>
      <c r="N1115" s="2" t="n">
        <v>0</v>
      </c>
      <c r="O1115" s="2" t="n">
        <v>0</v>
      </c>
      <c r="P1115" s="2" t="n">
        <v>0</v>
      </c>
      <c r="Q1115" s="2" t="n">
        <v>40</v>
      </c>
      <c r="R1115" s="2" t="n">
        <v>584</v>
      </c>
      <c r="S1115" s="2" t="n"/>
      <c r="T1115" s="2">
        <f>IF(OR(S1115="",R1115=0),"",ROUND(S1115*R1115,2))</f>
        <v/>
      </c>
      <c r="U1115" s="2" t="inlineStr"/>
    </row>
    <row r="1116">
      <c r="A1116" s="2" t="inlineStr">
        <is>
          <t>R</t>
        </is>
      </c>
      <c r="B1116" s="2" t="inlineStr">
        <is>
          <t>OAS-1C&amp;2C-NC-GE-GN-ELE-EP-1104/2104/3104</t>
        </is>
      </c>
      <c r="C1116" s="2" t="inlineStr">
        <is>
          <t>H</t>
        </is>
      </c>
      <c r="D1116" s="2" t="inlineStr">
        <is>
          <t>Ref. LT-04</t>
        </is>
      </c>
      <c r="E1116" s="2" t="inlineStr">
        <is>
          <t>No</t>
        </is>
      </c>
      <c r="F1116" s="2" t="n">
        <v>0</v>
      </c>
      <c r="G1116" s="2" t="n">
        <v>0</v>
      </c>
      <c r="H1116" s="2" t="n">
        <v>0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27</v>
      </c>
      <c r="O1116" s="2" t="n">
        <v>0</v>
      </c>
      <c r="P1116" s="2" t="n">
        <v>0</v>
      </c>
      <c r="Q1116" s="2" t="n">
        <v>27</v>
      </c>
      <c r="R1116" s="2" t="n">
        <v>27</v>
      </c>
      <c r="S1116" s="2" t="n"/>
      <c r="T1116" s="2">
        <f>IF(OR(S1116="",R1116=0),"",ROUND(S1116*R1116,2))</f>
        <v/>
      </c>
      <c r="U1116" s="2" t="inlineStr"/>
    </row>
    <row r="1117">
      <c r="A1117" s="2" t="inlineStr">
        <is>
          <t>R</t>
        </is>
      </c>
      <c r="B1117" s="2" t="inlineStr">
        <is>
          <t>OAS-1C&amp;2C-NC-GE-GN-ELE-EP-1104/2104/3104</t>
        </is>
      </c>
      <c r="C1117" s="2" t="inlineStr">
        <is>
          <t>H</t>
        </is>
      </c>
      <c r="D1117" s="2" t="inlineStr">
        <is>
          <t>Ref. LTA3.2</t>
        </is>
      </c>
      <c r="E1117" s="2" t="inlineStr">
        <is>
          <t>No</t>
        </is>
      </c>
      <c r="F1117" s="2" t="n">
        <v>4</v>
      </c>
      <c r="G1117" s="2" t="n">
        <v>4</v>
      </c>
      <c r="H1117" s="2" t="n">
        <v>6</v>
      </c>
      <c r="I1117" s="2" t="n">
        <v>6</v>
      </c>
      <c r="J1117" s="2" t="n">
        <v>8</v>
      </c>
      <c r="K1117" s="2" t="n">
        <v>8</v>
      </c>
      <c r="L1117" s="2" t="n">
        <v>2</v>
      </c>
      <c r="M1117" s="2" t="n">
        <v>2</v>
      </c>
      <c r="N1117" s="2" t="n">
        <v>0</v>
      </c>
      <c r="O1117" s="2" t="n">
        <v>0</v>
      </c>
      <c r="P1117" s="2" t="n">
        <v>0</v>
      </c>
      <c r="Q1117" s="2" t="n">
        <v>40</v>
      </c>
      <c r="R1117" s="2" t="n">
        <v>584</v>
      </c>
      <c r="S1117" s="2" t="n"/>
      <c r="T1117" s="2">
        <f>IF(OR(S1117="",R1117=0),"",ROUND(S1117*R1117,2))</f>
        <v/>
      </c>
      <c r="U1117" s="2" t="inlineStr"/>
    </row>
    <row r="1118">
      <c r="A1118" s="2" t="inlineStr">
        <is>
          <t>R</t>
        </is>
      </c>
      <c r="B1118" s="2" t="inlineStr">
        <is>
          <t>OAS-1C&amp;2C-NC-GE-GN-ELE-EP-1104/2104/3104</t>
        </is>
      </c>
      <c r="C1118" s="2" t="inlineStr">
        <is>
          <t>H</t>
        </is>
      </c>
      <c r="D1118" s="2" t="inlineStr">
        <is>
          <t>LT4.1</t>
        </is>
      </c>
      <c r="E1118" s="2" t="inlineStr">
        <is>
          <t>No.</t>
        </is>
      </c>
      <c r="F1118" s="2" t="n">
        <v>0</v>
      </c>
      <c r="G1118" s="2" t="n">
        <v>0</v>
      </c>
      <c r="H1118" s="2" t="n">
        <v>0</v>
      </c>
      <c r="I1118" s="2" t="n">
        <v>0</v>
      </c>
      <c r="J1118" s="2" t="n">
        <v>0</v>
      </c>
      <c r="K1118" s="2" t="n">
        <v>0</v>
      </c>
      <c r="L1118" s="2" t="n">
        <v>0</v>
      </c>
      <c r="M1118" s="2" t="n">
        <v>0</v>
      </c>
      <c r="N1118" s="2" t="n">
        <v>12</v>
      </c>
      <c r="O1118" s="2" t="n">
        <v>0</v>
      </c>
      <c r="P1118" s="2" t="n">
        <v>0</v>
      </c>
      <c r="Q1118" s="2" t="n">
        <v>12</v>
      </c>
      <c r="R1118" s="2" t="n">
        <v>12</v>
      </c>
      <c r="S1118" s="2" t="n"/>
      <c r="T1118" s="2">
        <f>IF(OR(S1118="",R1118=0),"",ROUND(S1118*R1118,2))</f>
        <v/>
      </c>
      <c r="U1118" s="2" t="inlineStr"/>
    </row>
    <row r="1119">
      <c r="A1119" s="2" t="inlineStr">
        <is>
          <t>R</t>
        </is>
      </c>
      <c r="B1119" s="2" t="inlineStr">
        <is>
          <t>OAS-1C&amp;2C-NC-GE-GN-ELE-EP-1104/2104/3104</t>
        </is>
      </c>
      <c r="C1119" s="2" t="inlineStr">
        <is>
          <t>H</t>
        </is>
      </c>
      <c r="D1119" s="2" t="inlineStr">
        <is>
          <t>Occupancy/Presence sensor</t>
        </is>
      </c>
      <c r="E1119" s="2" t="inlineStr">
        <is>
          <t>No</t>
        </is>
      </c>
      <c r="F1119" s="2" t="n">
        <v>0</v>
      </c>
      <c r="G1119" s="2" t="n">
        <v>0</v>
      </c>
      <c r="H1119" s="2" t="n">
        <v>0</v>
      </c>
      <c r="I1119" s="2" t="n">
        <v>0</v>
      </c>
      <c r="J1119" s="2" t="n">
        <v>0</v>
      </c>
      <c r="K1119" s="2" t="n">
        <v>0</v>
      </c>
      <c r="L1119" s="2" t="n">
        <v>0</v>
      </c>
      <c r="M1119" s="2" t="n">
        <v>0</v>
      </c>
      <c r="N1119" s="2" t="n">
        <v>17</v>
      </c>
      <c r="O1119" s="2" t="n">
        <v>0</v>
      </c>
      <c r="P1119" s="2" t="n">
        <v>0</v>
      </c>
      <c r="Q1119" s="2" t="n">
        <v>17</v>
      </c>
      <c r="R1119" s="2" t="n">
        <v>17</v>
      </c>
      <c r="S1119" s="2" t="n"/>
      <c r="T1119" s="2">
        <f>IF(OR(S1119="",R1119=0),"",ROUND(S1119*R1119,2))</f>
        <v/>
      </c>
      <c r="U1119" s="2" t="inlineStr"/>
    </row>
    <row r="1120">
      <c r="A1120" s="2" t="inlineStr">
        <is>
          <t>R</t>
        </is>
      </c>
      <c r="B1120" s="2" t="inlineStr">
        <is>
          <t>OAS-1C&amp;2C-NC-GE-GN-ELE-EP-1104/2104/3104</t>
        </is>
      </c>
      <c r="C1120" s="2" t="inlineStr">
        <is>
          <t>H</t>
        </is>
      </c>
      <c r="D1120" s="2" t="inlineStr">
        <is>
          <t>Central monitoring panel</t>
        </is>
      </c>
      <c r="E1120" s="2" t="inlineStr">
        <is>
          <t>Item</t>
        </is>
      </c>
      <c r="F1120" s="2" t="n">
        <v>0</v>
      </c>
      <c r="G1120" s="2" t="n">
        <v>0</v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1</v>
      </c>
      <c r="O1120" s="2" t="n">
        <v>0</v>
      </c>
      <c r="P1120" s="2" t="n">
        <v>0</v>
      </c>
      <c r="Q1120" s="2" t="n">
        <v>1</v>
      </c>
      <c r="R1120" s="2" t="n">
        <v>1</v>
      </c>
      <c r="S1120" s="2" t="n"/>
      <c r="T1120" s="2">
        <f>IF(OR(S1120="",R1120=0),"",ROUND(S1120*R1120,2))</f>
        <v/>
      </c>
      <c r="U1120" s="2" t="inlineStr"/>
    </row>
    <row r="1121">
      <c r="A1121" s="2" t="inlineStr">
        <is>
          <t>R</t>
        </is>
      </c>
      <c r="B1121" s="2" t="inlineStr">
        <is>
          <t>OAS-1C&amp;2C-NC-GE-GN-ELE-EP-1104/2104/3104</t>
        </is>
      </c>
      <c r="C1121" s="2" t="inlineStr">
        <is>
          <t>J</t>
        </is>
      </c>
      <c r="D1121" s="2" t="inlineStr">
        <is>
          <t>2Cx6 SQ.mm XLPE/SWA/PVC/Cu+1Cx6 SQ.mm PVC/Cu ECC</t>
        </is>
      </c>
      <c r="E1121" s="2" t="inlineStr">
        <is>
          <t>m</t>
        </is>
      </c>
      <c r="F1121" s="2" t="n">
        <v>454</v>
      </c>
      <c r="G1121" s="2" t="n">
        <v>454</v>
      </c>
      <c r="H1121" s="2" t="n">
        <v>684</v>
      </c>
      <c r="I1121" s="2" t="n">
        <v>684</v>
      </c>
      <c r="J1121" s="2" t="n">
        <v>914</v>
      </c>
      <c r="K1121" s="2" t="n">
        <v>914</v>
      </c>
      <c r="L1121" s="2" t="n">
        <v>160</v>
      </c>
      <c r="M1121" s="2" t="n">
        <v>160</v>
      </c>
      <c r="N1121" s="2" t="n">
        <v>448</v>
      </c>
      <c r="O1121" s="2" t="n">
        <v>16</v>
      </c>
      <c r="P1121" s="2" t="n">
        <v>0</v>
      </c>
      <c r="Q1121" s="2" t="n">
        <v>4888</v>
      </c>
      <c r="R1121" s="2" t="n">
        <v>64482</v>
      </c>
      <c r="S1121" s="2" t="n"/>
      <c r="T1121" s="2">
        <f>IF(OR(S1121="",R1121=0),"",ROUND(S1121*R1121,2))</f>
        <v/>
      </c>
      <c r="U1121" s="2" t="inlineStr"/>
    </row>
    <row r="1122">
      <c r="A1122" s="2" t="inlineStr">
        <is>
          <t>R</t>
        </is>
      </c>
      <c r="B1122" s="2" t="inlineStr">
        <is>
          <t>OAS-1C&amp;2C-NC-GE-GN-ELE-EP-1104/2104/3104</t>
        </is>
      </c>
      <c r="C1122" s="2" t="inlineStr">
        <is>
          <t>J</t>
        </is>
      </c>
      <c r="D1122" s="2" t="inlineStr">
        <is>
          <t>Ref. LTA4.1</t>
        </is>
      </c>
      <c r="E1122" s="2" t="inlineStr">
        <is>
          <t>No</t>
        </is>
      </c>
      <c r="F1122" s="2" t="n">
        <v>4</v>
      </c>
      <c r="G1122" s="2" t="n">
        <v>4</v>
      </c>
      <c r="H1122" s="2" t="n">
        <v>6</v>
      </c>
      <c r="I1122" s="2" t="n">
        <v>6</v>
      </c>
      <c r="J1122" s="2" t="n">
        <v>8</v>
      </c>
      <c r="K1122" s="2" t="n">
        <v>8</v>
      </c>
      <c r="L1122" s="2" t="n">
        <v>3</v>
      </c>
      <c r="M1122" s="2" t="n">
        <v>3</v>
      </c>
      <c r="N1122" s="2" t="n">
        <v>12</v>
      </c>
      <c r="O1122" s="2" t="n">
        <v>0</v>
      </c>
      <c r="P1122" s="2" t="n">
        <v>0</v>
      </c>
      <c r="Q1122" s="2" t="n">
        <v>54</v>
      </c>
      <c r="R1122" s="2" t="n">
        <v>633</v>
      </c>
      <c r="S1122" s="2" t="n"/>
      <c r="T1122" s="2">
        <f>IF(OR(S1122="",R1122=0),"",ROUND(S1122*R1122,2))</f>
        <v/>
      </c>
      <c r="U1122" s="2" t="inlineStr"/>
    </row>
    <row r="1123">
      <c r="A1123" s="2" t="inlineStr">
        <is>
          <t>R</t>
        </is>
      </c>
      <c r="B1123" s="2" t="inlineStr">
        <is>
          <t>OAS-1C&amp;2C-NC-GE-GN-ELE-EP-1104/2104/3104</t>
        </is>
      </c>
      <c r="C1123" s="2" t="inlineStr">
        <is>
          <t>J</t>
        </is>
      </c>
      <c r="D1123" s="2" t="inlineStr">
        <is>
          <t>LT-05</t>
        </is>
      </c>
      <c r="E1123" s="2" t="inlineStr">
        <is>
          <t>No</t>
        </is>
      </c>
      <c r="F1123" s="2" t="n">
        <v>0</v>
      </c>
      <c r="G1123" s="2" t="n">
        <v>0</v>
      </c>
      <c r="H1123" s="2" t="n">
        <v>0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20</v>
      </c>
      <c r="O1123" s="2" t="n">
        <v>0</v>
      </c>
      <c r="P1123" s="2" t="n">
        <v>0</v>
      </c>
      <c r="Q1123" s="2" t="n">
        <v>20</v>
      </c>
      <c r="R1123" s="2" t="n">
        <v>20</v>
      </c>
      <c r="S1123" s="2" t="n"/>
      <c r="T1123" s="2">
        <f>IF(OR(S1123="",R1123=0),"",ROUND(S1123*R1123,2))</f>
        <v/>
      </c>
      <c r="U1123" s="2" t="inlineStr"/>
    </row>
    <row r="1124">
      <c r="A1124" s="2" t="inlineStr">
        <is>
          <t>R</t>
        </is>
      </c>
      <c r="B1124" s="2" t="inlineStr">
        <is>
          <t>OAS-1C&amp;2C-NC-GE-GN-ELE-EP-1104/2104/3104</t>
        </is>
      </c>
      <c r="C1124" s="2" t="inlineStr">
        <is>
          <t>J</t>
        </is>
      </c>
      <c r="D1124" s="2" t="inlineStr">
        <is>
          <t>Ref. LTA4.1</t>
        </is>
      </c>
      <c r="E1124" s="2" t="inlineStr">
        <is>
          <t>No</t>
        </is>
      </c>
      <c r="F1124" s="2" t="n">
        <v>4</v>
      </c>
      <c r="G1124" s="2" t="n">
        <v>4</v>
      </c>
      <c r="H1124" s="2" t="n">
        <v>6</v>
      </c>
      <c r="I1124" s="2" t="n">
        <v>6</v>
      </c>
      <c r="J1124" s="2" t="n">
        <v>8</v>
      </c>
      <c r="K1124" s="2" t="n">
        <v>8</v>
      </c>
      <c r="L1124" s="2" t="n">
        <v>3</v>
      </c>
      <c r="M1124" s="2" t="n">
        <v>3</v>
      </c>
      <c r="N1124" s="2" t="n">
        <v>12</v>
      </c>
      <c r="O1124" s="2" t="n">
        <v>0</v>
      </c>
      <c r="P1124" s="2" t="n">
        <v>0</v>
      </c>
      <c r="Q1124" s="2" t="n">
        <v>54</v>
      </c>
      <c r="R1124" s="2" t="n">
        <v>633</v>
      </c>
      <c r="S1124" s="2" t="n"/>
      <c r="T1124" s="2">
        <f>IF(OR(S1124="",R1124=0),"",ROUND(S1124*R1124,2))</f>
        <v/>
      </c>
      <c r="U1124" s="2" t="inlineStr"/>
    </row>
    <row r="1125">
      <c r="A1125" s="2" t="inlineStr">
        <is>
          <t>R</t>
        </is>
      </c>
      <c r="B1125" s="2" t="inlineStr">
        <is>
          <t>OAS-1C&amp;2C-NC-GE-GN-ELE-EP-1104/2104/3104</t>
        </is>
      </c>
      <c r="C1125" s="2" t="inlineStr">
        <is>
          <t>K</t>
        </is>
      </c>
      <c r="D1125" s="2" t="inlineStr">
        <is>
          <t>2Cx10 SQ.mm XLPE/SWA/PVC/Cu+1Cx10 SQ.mm PVC/Cu ECC</t>
        </is>
      </c>
      <c r="E1125" s="2" t="inlineStr">
        <is>
          <t>m</t>
        </is>
      </c>
      <c r="F1125" s="2" t="n">
        <v>162</v>
      </c>
      <c r="G1125" s="2" t="n">
        <v>162</v>
      </c>
      <c r="H1125" s="2" t="n">
        <v>202</v>
      </c>
      <c r="I1125" s="2" t="n">
        <v>202</v>
      </c>
      <c r="J1125" s="2" t="n">
        <v>242</v>
      </c>
      <c r="K1125" s="2" t="n">
        <v>242</v>
      </c>
      <c r="L1125" s="2" t="n">
        <v>76</v>
      </c>
      <c r="M1125" s="2" t="n">
        <v>76</v>
      </c>
      <c r="N1125" s="2" t="n">
        <v>55</v>
      </c>
      <c r="O1125" s="2" t="n">
        <v>0</v>
      </c>
      <c r="P1125" s="2" t="n">
        <v>0</v>
      </c>
      <c r="Q1125" s="2" t="n">
        <v>1419</v>
      </c>
      <c r="R1125" s="2" t="n">
        <v>20611</v>
      </c>
      <c r="S1125" s="2" t="n"/>
      <c r="T1125" s="2">
        <f>IF(OR(S1125="",R1125=0),"",ROUND(S1125*R1125,2))</f>
        <v/>
      </c>
      <c r="U1125" s="2" t="inlineStr"/>
    </row>
    <row r="1126">
      <c r="A1126" s="2" t="inlineStr">
        <is>
          <t>R</t>
        </is>
      </c>
      <c r="B1126" s="2" t="inlineStr">
        <is>
          <t>OAS-1C&amp;2C-NC-GE-GN-ELE-EP-1104/2104/3104</t>
        </is>
      </c>
      <c r="C1126" s="2" t="inlineStr">
        <is>
          <t>K</t>
        </is>
      </c>
      <c r="D1126" s="2" t="inlineStr">
        <is>
          <t>Pilot Indicator with LED</t>
        </is>
      </c>
      <c r="E1126" s="2" t="inlineStr">
        <is>
          <t>No</t>
        </is>
      </c>
      <c r="F1126" s="2" t="n">
        <v>4</v>
      </c>
      <c r="G1126" s="2" t="n">
        <v>4</v>
      </c>
      <c r="H1126" s="2" t="n">
        <v>6</v>
      </c>
      <c r="I1126" s="2" t="n">
        <v>6</v>
      </c>
      <c r="J1126" s="2" t="n">
        <v>8</v>
      </c>
      <c r="K1126" s="2" t="n">
        <v>8</v>
      </c>
      <c r="L1126" s="2" t="n">
        <v>1</v>
      </c>
      <c r="M1126" s="2" t="n">
        <v>1</v>
      </c>
      <c r="N1126" s="2" t="n">
        <v>0</v>
      </c>
      <c r="O1126" s="2" t="n">
        <v>0</v>
      </c>
      <c r="P1126" s="2" t="n">
        <v>0</v>
      </c>
      <c r="Q1126" s="2" t="n">
        <v>38</v>
      </c>
      <c r="R1126" s="2" t="n">
        <v>547</v>
      </c>
      <c r="S1126" s="2" t="n"/>
      <c r="T1126" s="2">
        <f>IF(OR(S1126="",R1126=0),"",ROUND(S1126*R1126,2))</f>
        <v/>
      </c>
      <c r="U1126" s="2" t="inlineStr"/>
    </row>
    <row r="1127">
      <c r="A1127" s="2" t="inlineStr">
        <is>
          <t>R</t>
        </is>
      </c>
      <c r="B1127" s="2" t="inlineStr">
        <is>
          <t>OAS-1C&amp;2C-NC-GE-GN-ELE-EP-1104/2104/3104</t>
        </is>
      </c>
      <c r="C1127" s="2" t="inlineStr">
        <is>
          <t>K</t>
        </is>
      </c>
      <c r="D1127" s="2" t="inlineStr">
        <is>
          <t>Pilot Indicator with LED</t>
        </is>
      </c>
      <c r="E1127" s="2" t="inlineStr">
        <is>
          <t>No</t>
        </is>
      </c>
      <c r="F1127" s="2" t="n">
        <v>4</v>
      </c>
      <c r="G1127" s="2" t="n">
        <v>4</v>
      </c>
      <c r="H1127" s="2" t="n">
        <v>6</v>
      </c>
      <c r="I1127" s="2" t="n">
        <v>6</v>
      </c>
      <c r="J1127" s="2" t="n">
        <v>8</v>
      </c>
      <c r="K1127" s="2" t="n">
        <v>8</v>
      </c>
      <c r="L1127" s="2" t="n">
        <v>1</v>
      </c>
      <c r="M1127" s="2" t="n">
        <v>1</v>
      </c>
      <c r="N1127" s="2" t="n">
        <v>0</v>
      </c>
      <c r="O1127" s="2" t="n">
        <v>0</v>
      </c>
      <c r="P1127" s="2" t="n">
        <v>0</v>
      </c>
      <c r="Q1127" s="2" t="n">
        <v>38</v>
      </c>
      <c r="R1127" s="2" t="n">
        <v>547</v>
      </c>
      <c r="S1127" s="2" t="n"/>
      <c r="T1127" s="2">
        <f>IF(OR(S1127="",R1127=0),"",ROUND(S1127*R1127,2))</f>
        <v/>
      </c>
      <c r="U1127" s="2" t="inlineStr"/>
    </row>
    <row r="1128">
      <c r="A1128" s="2" t="inlineStr">
        <is>
          <t>R</t>
        </is>
      </c>
      <c r="B1128" s="2" t="inlineStr">
        <is>
          <t>OAS-1C&amp;2C-NC-GE-GN-ELE-EP-1104/2104/3104</t>
        </is>
      </c>
      <c r="C1128" s="2" t="inlineStr">
        <is>
          <t>K</t>
        </is>
      </c>
      <c r="D1128" s="2" t="inlineStr">
        <is>
          <t>Ref. LTA4.2</t>
        </is>
      </c>
      <c r="E1128" s="2" t="inlineStr">
        <is>
          <t>No</t>
        </is>
      </c>
      <c r="F1128" s="2" t="n">
        <v>8</v>
      </c>
      <c r="G1128" s="2" t="n">
        <v>8</v>
      </c>
      <c r="H1128" s="2" t="n">
        <v>12</v>
      </c>
      <c r="I1128" s="2" t="n">
        <v>12</v>
      </c>
      <c r="J1128" s="2" t="n">
        <v>16</v>
      </c>
      <c r="K1128" s="2" t="n">
        <v>16</v>
      </c>
      <c r="L1128" s="2" t="n">
        <v>1</v>
      </c>
      <c r="M1128" s="2" t="n">
        <v>1</v>
      </c>
      <c r="N1128" s="2" t="n">
        <v>0</v>
      </c>
      <c r="O1128" s="2" t="n">
        <v>0</v>
      </c>
      <c r="P1128" s="2" t="n">
        <v>0</v>
      </c>
      <c r="Q1128" s="2" t="n">
        <v>74</v>
      </c>
      <c r="R1128" s="2" t="n">
        <v>1057</v>
      </c>
      <c r="S1128" s="2" t="n"/>
      <c r="T1128" s="2">
        <f>IF(OR(S1128="",R1128=0),"",ROUND(S1128*R1128,2))</f>
        <v/>
      </c>
      <c r="U1128" s="2" t="inlineStr"/>
    </row>
    <row r="1129">
      <c r="A1129" s="2" t="inlineStr">
        <is>
          <t>R</t>
        </is>
      </c>
      <c r="B1129" s="2" t="inlineStr">
        <is>
          <t>OAS-1C&amp;2C-NC-GE-GN-ELE-EP-1104/2104/3104</t>
        </is>
      </c>
      <c r="C1129" s="2" t="inlineStr">
        <is>
          <t>K</t>
        </is>
      </c>
      <c r="D1129" s="2" t="inlineStr">
        <is>
          <t>LT-07</t>
        </is>
      </c>
      <c r="E1129" s="2" t="inlineStr">
        <is>
          <t>No</t>
        </is>
      </c>
      <c r="F1129" s="2" t="n">
        <v>0</v>
      </c>
      <c r="G1129" s="2" t="n">
        <v>0</v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n">
        <v>0</v>
      </c>
      <c r="N1129" s="2" t="n">
        <v>0</v>
      </c>
      <c r="O1129" s="2" t="n">
        <v>2</v>
      </c>
      <c r="P1129" s="2" t="n">
        <v>0</v>
      </c>
      <c r="Q1129" s="2" t="n">
        <v>2</v>
      </c>
      <c r="R1129" s="2" t="n">
        <v>2</v>
      </c>
      <c r="S1129" s="2" t="n"/>
      <c r="T1129" s="2">
        <f>IF(OR(S1129="",R1129=0),"",ROUND(S1129*R1129,2))</f>
        <v/>
      </c>
      <c r="U1129" s="2" t="inlineStr"/>
    </row>
    <row r="1130">
      <c r="A1130" s="2" t="inlineStr">
        <is>
          <t>R</t>
        </is>
      </c>
      <c r="B1130" s="2" t="inlineStr">
        <is>
          <t>OAS-1C&amp;2C-NC-GE-GN-ELE-EP-1104/2104/3104</t>
        </is>
      </c>
      <c r="C1130" s="2" t="inlineStr">
        <is>
          <t>K</t>
        </is>
      </c>
      <c r="D1130" s="2" t="inlineStr">
        <is>
          <t>Ref. LTA4.2</t>
        </is>
      </c>
      <c r="E1130" s="2" t="inlineStr">
        <is>
          <t>No</t>
        </is>
      </c>
      <c r="F1130" s="2" t="n">
        <v>8</v>
      </c>
      <c r="G1130" s="2" t="n">
        <v>8</v>
      </c>
      <c r="H1130" s="2" t="n">
        <v>12</v>
      </c>
      <c r="I1130" s="2" t="n">
        <v>12</v>
      </c>
      <c r="J1130" s="2" t="n">
        <v>16</v>
      </c>
      <c r="K1130" s="2" t="n">
        <v>16</v>
      </c>
      <c r="L1130" s="2" t="n">
        <v>1</v>
      </c>
      <c r="M1130" s="2" t="n">
        <v>1</v>
      </c>
      <c r="N1130" s="2" t="n">
        <v>0</v>
      </c>
      <c r="O1130" s="2" t="n">
        <v>0</v>
      </c>
      <c r="P1130" s="2" t="n">
        <v>0</v>
      </c>
      <c r="Q1130" s="2" t="n">
        <v>74</v>
      </c>
      <c r="R1130" s="2" t="n">
        <v>1057</v>
      </c>
      <c r="S1130" s="2" t="n"/>
      <c r="T1130" s="2">
        <f>IF(OR(S1130="",R1130=0),"",ROUND(S1130*R1130,2))</f>
        <v/>
      </c>
      <c r="U1130" s="2" t="inlineStr"/>
    </row>
    <row r="1131">
      <c r="A1131" s="2" t="inlineStr">
        <is>
          <t>R</t>
        </is>
      </c>
      <c r="B1131" s="2" t="inlineStr">
        <is>
          <t>OAS-1C&amp;2C-NC-GE-GN-ELE-EP-1104/2104/3104</t>
        </is>
      </c>
      <c r="C1131" s="2" t="inlineStr">
        <is>
          <t>L</t>
        </is>
      </c>
      <c r="D1131" s="2" t="inlineStr">
        <is>
          <t>4Cx6 SQ.mm XLPE/SWA/PVC/Cu+1Cx6 SQ.mm PVC/Cu ECC</t>
        </is>
      </c>
      <c r="E1131" s="2" t="inlineStr">
        <is>
          <t>m</t>
        </is>
      </c>
      <c r="F1131" s="2" t="n">
        <v>0</v>
      </c>
      <c r="G1131" s="2" t="n">
        <v>0</v>
      </c>
      <c r="H1131" s="2" t="n">
        <v>0</v>
      </c>
      <c r="I1131" s="2" t="n">
        <v>0</v>
      </c>
      <c r="J1131" s="2" t="n">
        <v>0</v>
      </c>
      <c r="K1131" s="2" t="n">
        <v>0</v>
      </c>
      <c r="L1131" s="2" t="n">
        <v>47</v>
      </c>
      <c r="M1131" s="2" t="n">
        <v>47</v>
      </c>
      <c r="N1131" s="2" t="n">
        <v>22</v>
      </c>
      <c r="O1131" s="2" t="n">
        <v>0</v>
      </c>
      <c r="P1131" s="2" t="n">
        <v>0</v>
      </c>
      <c r="Q1131" s="2" t="n">
        <v>116</v>
      </c>
      <c r="R1131" s="2" t="n">
        <v>1761</v>
      </c>
      <c r="S1131" s="2" t="n"/>
      <c r="T1131" s="2">
        <f>IF(OR(S1131="",R1131=0),"",ROUND(S1131*R1131,2))</f>
        <v/>
      </c>
      <c r="U1131" s="2" t="inlineStr"/>
    </row>
    <row r="1132">
      <c r="A1132" s="2" t="inlineStr">
        <is>
          <t>R</t>
        </is>
      </c>
      <c r="B1132" s="2" t="inlineStr">
        <is>
          <t>OAS-1C&amp;2C-NC-GE-GN-ELE-EP-1104/2104/3104</t>
        </is>
      </c>
      <c r="C1132" s="2" t="inlineStr">
        <is>
          <t>L</t>
        </is>
      </c>
      <c r="D1132" s="2" t="inlineStr">
        <is>
          <t>Ref. LTA4.3</t>
        </is>
      </c>
      <c r="E1132" s="2" t="inlineStr">
        <is>
          <t>No</t>
        </is>
      </c>
      <c r="F1132" s="2" t="n">
        <v>0</v>
      </c>
      <c r="G1132" s="2" t="n">
        <v>0</v>
      </c>
      <c r="H1132" s="2" t="n">
        <v>0</v>
      </c>
      <c r="I1132" s="2" t="n">
        <v>0</v>
      </c>
      <c r="J1132" s="2" t="n">
        <v>0</v>
      </c>
      <c r="K1132" s="2" t="n">
        <v>0</v>
      </c>
      <c r="L1132" s="2" t="n">
        <v>2</v>
      </c>
      <c r="M1132" s="2" t="n">
        <v>2</v>
      </c>
      <c r="N1132" s="2" t="n">
        <v>0</v>
      </c>
      <c r="O1132" s="2" t="n">
        <v>0</v>
      </c>
      <c r="P1132" s="2" t="n">
        <v>0</v>
      </c>
      <c r="Q1132" s="2" t="n">
        <v>4</v>
      </c>
      <c r="R1132" s="2" t="n">
        <v>74</v>
      </c>
      <c r="S1132" s="2" t="n"/>
      <c r="T1132" s="2">
        <f>IF(OR(S1132="",R1132=0),"",ROUND(S1132*R1132,2))</f>
        <v/>
      </c>
      <c r="U1132" s="2" t="inlineStr"/>
    </row>
    <row r="1133">
      <c r="A1133" s="2" t="inlineStr">
        <is>
          <t>R</t>
        </is>
      </c>
      <c r="B1133" s="2" t="inlineStr">
        <is>
          <t>OAS-1C&amp;2C-NC-GE-GN-ELE-EP-1104/2104/3104</t>
        </is>
      </c>
      <c r="C1133" s="2" t="inlineStr">
        <is>
          <t>L</t>
        </is>
      </c>
      <c r="D1133" s="2" t="inlineStr">
        <is>
          <t>LT-15</t>
        </is>
      </c>
      <c r="E1133" s="2" t="inlineStr">
        <is>
          <t>No</t>
        </is>
      </c>
      <c r="F1133" s="2" t="n">
        <v>0</v>
      </c>
      <c r="G1133" s="2" t="n">
        <v>0</v>
      </c>
      <c r="H1133" s="2" t="n">
        <v>0</v>
      </c>
      <c r="I1133" s="2" t="n">
        <v>0</v>
      </c>
      <c r="J1133" s="2" t="n">
        <v>0</v>
      </c>
      <c r="K1133" s="2" t="n">
        <v>0</v>
      </c>
      <c r="L1133" s="2" t="n">
        <v>0</v>
      </c>
      <c r="M1133" s="2" t="n">
        <v>0</v>
      </c>
      <c r="N1133" s="2" t="n">
        <v>0</v>
      </c>
      <c r="O1133" s="2" t="n">
        <v>1</v>
      </c>
      <c r="P1133" s="2" t="n">
        <v>0</v>
      </c>
      <c r="Q1133" s="2" t="n">
        <v>1</v>
      </c>
      <c r="R1133" s="2" t="n">
        <v>1</v>
      </c>
      <c r="S1133" s="2" t="n"/>
      <c r="T1133" s="2">
        <f>IF(OR(S1133="",R1133=0),"",ROUND(S1133*R1133,2))</f>
        <v/>
      </c>
      <c r="U1133" s="2" t="inlineStr"/>
    </row>
    <row r="1134">
      <c r="A1134" s="2" t="inlineStr">
        <is>
          <t>R</t>
        </is>
      </c>
      <c r="B1134" s="2" t="inlineStr">
        <is>
          <t>OAS-1C&amp;2C-NC-GE-GN-ELE-EP-1104/2104/3104</t>
        </is>
      </c>
      <c r="C1134" s="2" t="inlineStr">
        <is>
          <t>L</t>
        </is>
      </c>
      <c r="D1134" s="2" t="inlineStr">
        <is>
          <t>Ref. LTA4.3</t>
        </is>
      </c>
      <c r="E1134" s="2" t="inlineStr">
        <is>
          <t>No</t>
        </is>
      </c>
      <c r="F1134" s="2" t="n">
        <v>0</v>
      </c>
      <c r="G1134" s="2" t="n">
        <v>0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2</v>
      </c>
      <c r="M1134" s="2" t="n">
        <v>2</v>
      </c>
      <c r="N1134" s="2" t="n">
        <v>0</v>
      </c>
      <c r="O1134" s="2" t="n">
        <v>0</v>
      </c>
      <c r="P1134" s="2" t="n">
        <v>0</v>
      </c>
      <c r="Q1134" s="2" t="n">
        <v>4</v>
      </c>
      <c r="R1134" s="2" t="n">
        <v>74</v>
      </c>
      <c r="S1134" s="2" t="n"/>
      <c r="T1134" s="2">
        <f>IF(OR(S1134="",R1134=0),"",ROUND(S1134*R1134,2))</f>
        <v/>
      </c>
      <c r="U1134" s="2" t="inlineStr"/>
    </row>
    <row r="1135">
      <c r="A1135" s="2" t="inlineStr">
        <is>
          <t>R</t>
        </is>
      </c>
      <c r="B1135" s="2" t="inlineStr">
        <is>
          <t>OAS-1C&amp;2C-NC-GE-GN-ELE-EP-1104/2104/3104</t>
        </is>
      </c>
      <c r="C1135" s="2" t="inlineStr">
        <is>
          <t>M</t>
        </is>
      </c>
      <c r="D1135" s="2" t="inlineStr">
        <is>
          <t>4Cx10 SQ.mm XLPE/SWA/PVC/Cu+1Cx10 SQ.mm PVC/Cu ECC</t>
        </is>
      </c>
      <c r="E1135" s="2" t="inlineStr">
        <is>
          <t>m</t>
        </is>
      </c>
      <c r="F1135" s="2" t="n">
        <v>42</v>
      </c>
      <c r="G1135" s="2" t="n">
        <v>42</v>
      </c>
      <c r="H1135" s="2" t="n">
        <v>84</v>
      </c>
      <c r="I1135" s="2" t="n">
        <v>84</v>
      </c>
      <c r="J1135" s="2" t="n">
        <v>126</v>
      </c>
      <c r="K1135" s="2" t="n">
        <v>126</v>
      </c>
      <c r="L1135" s="2" t="n">
        <v>35</v>
      </c>
      <c r="M1135" s="2" t="n">
        <v>35</v>
      </c>
      <c r="N1135" s="2" t="n">
        <v>191</v>
      </c>
      <c r="O1135" s="2" t="n">
        <v>12</v>
      </c>
      <c r="P1135" s="2" t="n">
        <v>0</v>
      </c>
      <c r="Q1135" s="2" t="n">
        <v>777</v>
      </c>
      <c r="R1135" s="2" t="n">
        <v>8344</v>
      </c>
      <c r="S1135" s="2" t="n"/>
      <c r="T1135" s="2">
        <f>IF(OR(S1135="",R1135=0),"",ROUND(S1135*R1135,2))</f>
        <v/>
      </c>
      <c r="U1135" s="2" t="inlineStr"/>
    </row>
    <row r="1136">
      <c r="A1136" s="2" t="inlineStr">
        <is>
          <t>R</t>
        </is>
      </c>
      <c r="B1136" s="2" t="inlineStr">
        <is>
          <t>OAS-1C&amp;2C-NC-GE-GN-ELE-EP-1104/2104/3104</t>
        </is>
      </c>
      <c r="C1136" s="2" t="inlineStr">
        <is>
          <t>M</t>
        </is>
      </c>
      <c r="D1136" s="2" t="inlineStr">
        <is>
          <t>Junction Box</t>
        </is>
      </c>
      <c r="E1136" s="2" t="inlineStr">
        <is>
          <t>No</t>
        </is>
      </c>
      <c r="F1136" s="2" t="n">
        <v>8</v>
      </c>
      <c r="G1136" s="2" t="n">
        <v>8</v>
      </c>
      <c r="H1136" s="2" t="n">
        <v>12</v>
      </c>
      <c r="I1136" s="2" t="n">
        <v>12</v>
      </c>
      <c r="J1136" s="2" t="n">
        <v>16</v>
      </c>
      <c r="K1136" s="2" t="n">
        <v>16</v>
      </c>
      <c r="L1136" s="2" t="n">
        <v>20</v>
      </c>
      <c r="M1136" s="2" t="n">
        <v>20</v>
      </c>
      <c r="N1136" s="2" t="n">
        <v>11</v>
      </c>
      <c r="O1136" s="2" t="n">
        <v>0</v>
      </c>
      <c r="P1136" s="2" t="n">
        <v>0</v>
      </c>
      <c r="Q1136" s="2" t="n">
        <v>123</v>
      </c>
      <c r="R1136" s="2" t="n">
        <v>1771</v>
      </c>
      <c r="S1136" s="2" t="n"/>
      <c r="T1136" s="2">
        <f>IF(OR(S1136="",R1136=0),"",ROUND(S1136*R1136,2))</f>
        <v/>
      </c>
      <c r="U1136" s="2" t="inlineStr"/>
    </row>
    <row r="1137">
      <c r="A1137" s="2" t="inlineStr">
        <is>
          <t>R</t>
        </is>
      </c>
      <c r="B1137" s="2" t="inlineStr">
        <is>
          <t>OAS-1C&amp;2C-NC-GE-GN-ELE-EP-1104/2104/3104</t>
        </is>
      </c>
      <c r="C1137" s="2" t="inlineStr">
        <is>
          <t>M</t>
        </is>
      </c>
      <c r="D1137" s="2" t="inlineStr">
        <is>
          <t>Junction Box</t>
        </is>
      </c>
      <c r="E1137" s="2" t="inlineStr">
        <is>
          <t>No</t>
        </is>
      </c>
      <c r="F1137" s="2" t="n">
        <v>8</v>
      </c>
      <c r="G1137" s="2" t="n">
        <v>8</v>
      </c>
      <c r="H1137" s="2" t="n">
        <v>12</v>
      </c>
      <c r="I1137" s="2" t="n">
        <v>12</v>
      </c>
      <c r="J1137" s="2" t="n">
        <v>16</v>
      </c>
      <c r="K1137" s="2" t="n">
        <v>16</v>
      </c>
      <c r="L1137" s="2" t="n">
        <v>20</v>
      </c>
      <c r="M1137" s="2" t="n">
        <v>20</v>
      </c>
      <c r="N1137" s="2" t="n">
        <v>11</v>
      </c>
      <c r="O1137" s="2" t="n">
        <v>0</v>
      </c>
      <c r="P1137" s="2" t="n">
        <v>0</v>
      </c>
      <c r="Q1137" s="2" t="n">
        <v>123</v>
      </c>
      <c r="R1137" s="2" t="n">
        <v>1771</v>
      </c>
      <c r="S1137" s="2" t="n"/>
      <c r="T1137" s="2">
        <f>IF(OR(S1137="",R1137=0),"",ROUND(S1137*R1137,2))</f>
        <v/>
      </c>
      <c r="U1137" s="2" t="inlineStr"/>
    </row>
    <row r="1138">
      <c r="A1138" s="2" t="inlineStr">
        <is>
          <t>R</t>
        </is>
      </c>
      <c r="B1138" s="2" t="inlineStr">
        <is>
          <t>OAS-1C&amp;2C-NC-GE-GN-ELE-EP-1104/2104/3104</t>
        </is>
      </c>
      <c r="C1138" s="2" t="inlineStr">
        <is>
          <t>M</t>
        </is>
      </c>
      <c r="D1138" s="2" t="inlineStr">
        <is>
          <t>Ref. LTA5.1</t>
        </is>
      </c>
      <c r="E1138" s="2" t="inlineStr">
        <is>
          <t>No</t>
        </is>
      </c>
      <c r="F1138" s="2" t="n">
        <v>4</v>
      </c>
      <c r="G1138" s="2" t="n">
        <v>4</v>
      </c>
      <c r="H1138" s="2" t="n">
        <v>4</v>
      </c>
      <c r="I1138" s="2" t="n">
        <v>4</v>
      </c>
      <c r="J1138" s="2" t="n">
        <v>4</v>
      </c>
      <c r="K1138" s="2" t="n">
        <v>4</v>
      </c>
      <c r="L1138" s="2" t="n">
        <v>2</v>
      </c>
      <c r="M1138" s="2" t="n">
        <v>2</v>
      </c>
      <c r="N1138" s="2" t="n">
        <v>0</v>
      </c>
      <c r="O1138" s="2" t="n">
        <v>0</v>
      </c>
      <c r="P1138" s="2" t="n">
        <v>0</v>
      </c>
      <c r="Q1138" s="2" t="n">
        <v>28</v>
      </c>
      <c r="R1138" s="2" t="n">
        <v>442</v>
      </c>
      <c r="S1138" s="2" t="n"/>
      <c r="T1138" s="2">
        <f>IF(OR(S1138="",R1138=0),"",ROUND(S1138*R1138,2))</f>
        <v/>
      </c>
      <c r="U1138" s="2" t="inlineStr"/>
    </row>
    <row r="1139">
      <c r="A1139" s="2" t="inlineStr">
        <is>
          <t>R</t>
        </is>
      </c>
      <c r="B1139" s="2" t="inlineStr">
        <is>
          <t>OAS-1C&amp;2C-NC-GE-GN-ELE-EP-1104/2104/3104</t>
        </is>
      </c>
      <c r="C1139" s="2" t="inlineStr">
        <is>
          <t>M</t>
        </is>
      </c>
      <c r="D1139" s="2" t="inlineStr">
        <is>
          <t>LT-16</t>
        </is>
      </c>
      <c r="E1139" s="2" t="inlineStr">
        <is>
          <t>No</t>
        </is>
      </c>
      <c r="F1139" s="2" t="n">
        <v>0</v>
      </c>
      <c r="G1139" s="2" t="n">
        <v>0</v>
      </c>
      <c r="H1139" s="2" t="n">
        <v>0</v>
      </c>
      <c r="I1139" s="2" t="n">
        <v>0</v>
      </c>
      <c r="J1139" s="2" t="n">
        <v>0</v>
      </c>
      <c r="K1139" s="2" t="n">
        <v>0</v>
      </c>
      <c r="L1139" s="2" t="n">
        <v>0</v>
      </c>
      <c r="M1139" s="2" t="n">
        <v>0</v>
      </c>
      <c r="N1139" s="2" t="n">
        <v>0</v>
      </c>
      <c r="O1139" s="2" t="n">
        <v>2</v>
      </c>
      <c r="P1139" s="2" t="n">
        <v>0</v>
      </c>
      <c r="Q1139" s="2" t="n">
        <v>2</v>
      </c>
      <c r="R1139" s="2" t="n">
        <v>2</v>
      </c>
      <c r="S1139" s="2" t="n"/>
      <c r="T1139" s="2">
        <f>IF(OR(S1139="",R1139=0),"",ROUND(S1139*R1139,2))</f>
        <v/>
      </c>
      <c r="U1139" s="2" t="inlineStr"/>
    </row>
    <row r="1140">
      <c r="A1140" s="2" t="inlineStr">
        <is>
          <t>R</t>
        </is>
      </c>
      <c r="B1140" s="2" t="inlineStr">
        <is>
          <t>OAS-1C&amp;2C-NC-GE-GN-ELE-EP-1104/2104/3104</t>
        </is>
      </c>
      <c r="C1140" s="2" t="inlineStr">
        <is>
          <t>M</t>
        </is>
      </c>
      <c r="D1140" s="2" t="inlineStr">
        <is>
          <t>Ref. LTA5.1</t>
        </is>
      </c>
      <c r="E1140" s="2" t="inlineStr">
        <is>
          <t>No</t>
        </is>
      </c>
      <c r="F1140" s="2" t="n">
        <v>4</v>
      </c>
      <c r="G1140" s="2" t="n">
        <v>4</v>
      </c>
      <c r="H1140" s="2" t="n">
        <v>4</v>
      </c>
      <c r="I1140" s="2" t="n">
        <v>4</v>
      </c>
      <c r="J1140" s="2" t="n">
        <v>4</v>
      </c>
      <c r="K1140" s="2" t="n">
        <v>4</v>
      </c>
      <c r="L1140" s="2" t="n">
        <v>2</v>
      </c>
      <c r="M1140" s="2" t="n">
        <v>2</v>
      </c>
      <c r="N1140" s="2" t="n">
        <v>0</v>
      </c>
      <c r="O1140" s="2" t="n">
        <v>0</v>
      </c>
      <c r="P1140" s="2" t="n">
        <v>0</v>
      </c>
      <c r="Q1140" s="2" t="n">
        <v>28</v>
      </c>
      <c r="R1140" s="2" t="n">
        <v>442</v>
      </c>
      <c r="S1140" s="2" t="n"/>
      <c r="T1140" s="2">
        <f>IF(OR(S1140="",R1140=0),"",ROUND(S1140*R1140,2))</f>
        <v/>
      </c>
      <c r="U1140" s="2" t="inlineStr"/>
    </row>
    <row r="1141">
      <c r="A1141" s="2" t="inlineStr">
        <is>
          <t>R</t>
        </is>
      </c>
      <c r="B1141" s="2" t="inlineStr">
        <is>
          <t>OAS-1C&amp;2C-NC-GE-GN-ELE-EP-1104/2104/3104</t>
        </is>
      </c>
      <c r="C1141" s="2" t="inlineStr">
        <is>
          <t>N</t>
        </is>
      </c>
      <c r="D1141" s="2" t="inlineStr">
        <is>
          <t>4Cx16 SQ.mm XLPE/SWA/PVC/Cu+1Cx16 SQ.mm PVC/Cu ECC</t>
        </is>
      </c>
      <c r="E1141" s="2" t="inlineStr">
        <is>
          <t>m</t>
        </is>
      </c>
      <c r="F1141" s="2" t="n">
        <v>66</v>
      </c>
      <c r="G1141" s="2" t="n">
        <v>66</v>
      </c>
      <c r="H1141" s="2" t="n">
        <v>96</v>
      </c>
      <c r="I1141" s="2" t="n">
        <v>96</v>
      </c>
      <c r="J1141" s="2" t="n">
        <v>126</v>
      </c>
      <c r="K1141" s="2" t="n">
        <v>126</v>
      </c>
      <c r="L1141" s="2" t="n">
        <v>33</v>
      </c>
      <c r="M1141" s="2" t="n">
        <v>33</v>
      </c>
      <c r="N1141" s="2" t="n">
        <v>193</v>
      </c>
      <c r="O1141" s="2" t="n">
        <v>0</v>
      </c>
      <c r="P1141" s="2" t="n">
        <v>0</v>
      </c>
      <c r="Q1141" s="2" t="n">
        <v>835</v>
      </c>
      <c r="R1141" s="2" t="n">
        <v>9616</v>
      </c>
      <c r="S1141" s="2" t="n"/>
      <c r="T1141" s="2">
        <f>IF(OR(S1141="",R1141=0),"",ROUND(S1141*R1141,2))</f>
        <v/>
      </c>
      <c r="U1141" s="2" t="inlineStr"/>
    </row>
    <row r="1142">
      <c r="A1142" s="2" t="inlineStr">
        <is>
          <t>R</t>
        </is>
      </c>
      <c r="B1142" s="2" t="inlineStr">
        <is>
          <t>OAS-1C&amp;2C-NC-GE-GN-ELE-EP-1104/2104/3104</t>
        </is>
      </c>
      <c r="C1142" s="2" t="inlineStr">
        <is>
          <t>N</t>
        </is>
      </c>
      <c r="D1142" s="2" t="inlineStr">
        <is>
          <t>Ref. LTA5.2</t>
        </is>
      </c>
      <c r="E1142" s="2" t="inlineStr">
        <is>
          <t>No</t>
        </is>
      </c>
      <c r="F1142" s="2" t="n">
        <v>4</v>
      </c>
      <c r="G1142" s="2" t="n">
        <v>4</v>
      </c>
      <c r="H1142" s="2" t="n">
        <v>8</v>
      </c>
      <c r="I1142" s="2" t="n">
        <v>8</v>
      </c>
      <c r="J1142" s="2" t="n">
        <v>12</v>
      </c>
      <c r="K1142" s="2" t="n">
        <v>12</v>
      </c>
      <c r="L1142" s="2" t="n">
        <v>0</v>
      </c>
      <c r="M1142" s="2" t="n">
        <v>0</v>
      </c>
      <c r="N1142" s="2" t="n">
        <v>0</v>
      </c>
      <c r="O1142" s="2" t="n">
        <v>0</v>
      </c>
      <c r="P1142" s="2" t="n">
        <v>0</v>
      </c>
      <c r="Q1142" s="2" t="n">
        <v>48</v>
      </c>
      <c r="R1142" s="2" t="n">
        <v>652</v>
      </c>
      <c r="S1142" s="2" t="n"/>
      <c r="T1142" s="2">
        <f>IF(OR(S1142="",R1142=0),"",ROUND(S1142*R1142,2))</f>
        <v/>
      </c>
      <c r="U1142" s="2" t="inlineStr"/>
    </row>
    <row r="1143">
      <c r="A1143" s="2" t="inlineStr">
        <is>
          <t>R</t>
        </is>
      </c>
      <c r="B1143" s="2" t="inlineStr">
        <is>
          <t>OAS-1C&amp;2C-NC-GE-GN-ELE-EP-1104/2104/3104</t>
        </is>
      </c>
      <c r="C1143" s="2" t="inlineStr">
        <is>
          <t>N</t>
        </is>
      </c>
      <c r="D1143" s="2" t="inlineStr">
        <is>
          <t>LT4.1</t>
        </is>
      </c>
      <c r="E1143" s="2" t="inlineStr">
        <is>
          <t>No</t>
        </is>
      </c>
      <c r="F1143" s="2" t="n">
        <v>0</v>
      </c>
      <c r="G1143" s="2" t="n">
        <v>0</v>
      </c>
      <c r="H1143" s="2" t="n">
        <v>0</v>
      </c>
      <c r="I1143" s="2" t="n">
        <v>0</v>
      </c>
      <c r="J1143" s="2" t="n">
        <v>0</v>
      </c>
      <c r="K1143" s="2" t="n">
        <v>0</v>
      </c>
      <c r="L1143" s="2" t="n">
        <v>0</v>
      </c>
      <c r="M1143" s="2" t="n">
        <v>0</v>
      </c>
      <c r="N1143" s="2" t="n">
        <v>12</v>
      </c>
      <c r="O1143" s="2" t="n">
        <v>0</v>
      </c>
      <c r="P1143" s="2" t="n">
        <v>0</v>
      </c>
      <c r="Q1143" s="2" t="n">
        <v>12</v>
      </c>
      <c r="R1143" s="2" t="n">
        <v>12</v>
      </c>
      <c r="S1143" s="2" t="n"/>
      <c r="T1143" s="2">
        <f>IF(OR(S1143="",R1143=0),"",ROUND(S1143*R1143,2))</f>
        <v/>
      </c>
      <c r="U1143" s="2" t="inlineStr"/>
    </row>
    <row r="1144">
      <c r="A1144" s="2" t="inlineStr">
        <is>
          <t>R</t>
        </is>
      </c>
      <c r="B1144" s="2" t="inlineStr">
        <is>
          <t>OAS-1C&amp;2C-NC-GE-GN-ELE-EP-1104/2104/3104</t>
        </is>
      </c>
      <c r="C1144" s="2" t="inlineStr">
        <is>
          <t>N</t>
        </is>
      </c>
      <c r="D1144" s="2" t="inlineStr">
        <is>
          <t>Ref. LTA5.2</t>
        </is>
      </c>
      <c r="E1144" s="2" t="inlineStr">
        <is>
          <t>No</t>
        </is>
      </c>
      <c r="F1144" s="2" t="n">
        <v>4</v>
      </c>
      <c r="G1144" s="2" t="n">
        <v>4</v>
      </c>
      <c r="H1144" s="2" t="n">
        <v>8</v>
      </c>
      <c r="I1144" s="2" t="n">
        <v>8</v>
      </c>
      <c r="J1144" s="2" t="n">
        <v>12</v>
      </c>
      <c r="K1144" s="2" t="n">
        <v>12</v>
      </c>
      <c r="L1144" s="2" t="n">
        <v>0</v>
      </c>
      <c r="M1144" s="2" t="n">
        <v>0</v>
      </c>
      <c r="N1144" s="2" t="n">
        <v>0</v>
      </c>
      <c r="O1144" s="2" t="n">
        <v>0</v>
      </c>
      <c r="P1144" s="2" t="n">
        <v>0</v>
      </c>
      <c r="Q1144" s="2" t="n">
        <v>48</v>
      </c>
      <c r="R1144" s="2" t="n">
        <v>652</v>
      </c>
      <c r="S1144" s="2" t="n"/>
      <c r="T1144" s="2">
        <f>IF(OR(S1144="",R1144=0),"",ROUND(S1144*R1144,2))</f>
        <v/>
      </c>
      <c r="U1144" s="2" t="inlineStr"/>
    </row>
    <row r="1145">
      <c r="A1145" s="2" t="inlineStr">
        <is>
          <t>R</t>
        </is>
      </c>
      <c r="B1145" s="2" t="inlineStr">
        <is>
          <t>OAS-1C&amp;2C-NC-GE-GN-ELE-EP-1104/2104/3104</t>
        </is>
      </c>
      <c r="C1145" s="2" t="inlineStr">
        <is>
          <t>P</t>
        </is>
      </c>
      <c r="D1145" s="2" t="inlineStr">
        <is>
          <t>4Cx25 SQ.mm XLPE/SWA/PVC/Cu+1Cx16 SQ.mm PVC/Cu ECC</t>
        </is>
      </c>
      <c r="E1145" s="2" t="inlineStr">
        <is>
          <t>m</t>
        </is>
      </c>
      <c r="F1145" s="2" t="n">
        <v>32</v>
      </c>
      <c r="G1145" s="2" t="n">
        <v>32</v>
      </c>
      <c r="H1145" s="2" t="n">
        <v>32</v>
      </c>
      <c r="I1145" s="2" t="n">
        <v>32</v>
      </c>
      <c r="J1145" s="2" t="n">
        <v>32</v>
      </c>
      <c r="K1145" s="2" t="n">
        <v>32</v>
      </c>
      <c r="L1145" s="2" t="n">
        <v>0</v>
      </c>
      <c r="M1145" s="2" t="n">
        <v>0</v>
      </c>
      <c r="N1145" s="2" t="n">
        <v>26</v>
      </c>
      <c r="O1145" s="2" t="n">
        <v>0</v>
      </c>
      <c r="P1145" s="2" t="n">
        <v>0</v>
      </c>
      <c r="Q1145" s="2" t="n">
        <v>218</v>
      </c>
      <c r="R1145" s="2" t="n">
        <v>2970</v>
      </c>
      <c r="S1145" s="2" t="n"/>
      <c r="T1145" s="2">
        <f>IF(OR(S1145="",R1145=0),"",ROUND(S1145*R1145,2))</f>
        <v/>
      </c>
      <c r="U1145" s="2" t="inlineStr"/>
    </row>
    <row r="1146">
      <c r="A1146" s="2" t="inlineStr">
        <is>
          <t>R</t>
        </is>
      </c>
      <c r="B1146" s="2" t="inlineStr">
        <is>
          <t>OAS-1C&amp;2C-NC-GE-GN-ELE-EP-1104/2104/3104</t>
        </is>
      </c>
      <c r="C1146" s="2" t="inlineStr">
        <is>
          <t>P</t>
        </is>
      </c>
      <c r="D1146" s="2" t="inlineStr">
        <is>
          <t>Media hub</t>
        </is>
      </c>
      <c r="E1146" s="2" t="inlineStr">
        <is>
          <t>No</t>
        </is>
      </c>
      <c r="F1146" s="2" t="n">
        <v>0</v>
      </c>
      <c r="G1146" s="2" t="n">
        <v>0</v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0</v>
      </c>
      <c r="N1146" s="2" t="n">
        <v>2</v>
      </c>
      <c r="O1146" s="2" t="n">
        <v>0</v>
      </c>
      <c r="P1146" s="2" t="n">
        <v>0</v>
      </c>
      <c r="Q1146" s="2" t="n">
        <v>2</v>
      </c>
      <c r="R1146" s="2" t="n">
        <v>2</v>
      </c>
      <c r="S1146" s="2" t="n"/>
      <c r="T1146" s="2">
        <f>IF(OR(S1146="",R1146=0),"",ROUND(S1146*R1146,2))</f>
        <v/>
      </c>
      <c r="U1146" s="2" t="inlineStr"/>
    </row>
    <row r="1147">
      <c r="A1147" s="2" t="inlineStr">
        <is>
          <t>R</t>
        </is>
      </c>
      <c r="B1147" s="2" t="inlineStr">
        <is>
          <t>OAS-1C&amp;2C-NC-GE-GN-ELE-EP-1104/2104/3104</t>
        </is>
      </c>
      <c r="C1147" s="2" t="inlineStr">
        <is>
          <t>P</t>
        </is>
      </c>
      <c r="D1147" s="2" t="inlineStr">
        <is>
          <t>Media hub</t>
        </is>
      </c>
      <c r="E1147" s="2" t="inlineStr">
        <is>
          <t>No</t>
        </is>
      </c>
      <c r="F1147" s="2" t="n">
        <v>0</v>
      </c>
      <c r="G1147" s="2" t="n">
        <v>0</v>
      </c>
      <c r="H1147" s="2" t="n">
        <v>0</v>
      </c>
      <c r="I1147" s="2" t="n">
        <v>0</v>
      </c>
      <c r="J1147" s="2" t="n">
        <v>0</v>
      </c>
      <c r="K1147" s="2" t="n">
        <v>0</v>
      </c>
      <c r="L1147" s="2" t="n">
        <v>0</v>
      </c>
      <c r="M1147" s="2" t="n">
        <v>0</v>
      </c>
      <c r="N1147" s="2" t="n">
        <v>2</v>
      </c>
      <c r="O1147" s="2" t="n">
        <v>0</v>
      </c>
      <c r="P1147" s="2" t="n">
        <v>0</v>
      </c>
      <c r="Q1147" s="2" t="n">
        <v>2</v>
      </c>
      <c r="R1147" s="2" t="n">
        <v>2</v>
      </c>
      <c r="S1147" s="2" t="n"/>
      <c r="T1147" s="2">
        <f>IF(OR(S1147="",R1147=0),"",ROUND(S1147*R1147,2))</f>
        <v/>
      </c>
      <c r="U1147" s="2" t="inlineStr"/>
    </row>
    <row r="1148">
      <c r="A1148" s="2" t="inlineStr">
        <is>
          <t>R</t>
        </is>
      </c>
      <c r="B1148" s="2" t="inlineStr">
        <is>
          <t>OAS-1C&amp;2C-NC-GE-GN-ELE-EP-1104/2104/3104</t>
        </is>
      </c>
      <c r="C1148" s="2" t="inlineStr">
        <is>
          <t>P</t>
        </is>
      </c>
      <c r="D1148" s="2" t="inlineStr">
        <is>
          <t>Ref. LTA5.3</t>
        </is>
      </c>
      <c r="E1148" s="2" t="inlineStr">
        <is>
          <t>No</t>
        </is>
      </c>
      <c r="F1148" s="2" t="n">
        <v>0</v>
      </c>
      <c r="G1148" s="2" t="n">
        <v>0</v>
      </c>
      <c r="H1148" s="2" t="n">
        <v>0</v>
      </c>
      <c r="I1148" s="2" t="n">
        <v>0</v>
      </c>
      <c r="J1148" s="2" t="n">
        <v>0</v>
      </c>
      <c r="K1148" s="2" t="n">
        <v>0</v>
      </c>
      <c r="L1148" s="2" t="n">
        <v>2</v>
      </c>
      <c r="M1148" s="2" t="n">
        <v>2</v>
      </c>
      <c r="N1148" s="2" t="n">
        <v>0</v>
      </c>
      <c r="O1148" s="2" t="n">
        <v>0</v>
      </c>
      <c r="P1148" s="2" t="n">
        <v>0</v>
      </c>
      <c r="Q1148" s="2" t="n">
        <v>4</v>
      </c>
      <c r="R1148" s="2" t="n">
        <v>74</v>
      </c>
      <c r="S1148" s="2" t="n"/>
      <c r="T1148" s="2">
        <f>IF(OR(S1148="",R1148=0),"",ROUND(S1148*R1148,2))</f>
        <v/>
      </c>
      <c r="U1148" s="2" t="inlineStr"/>
    </row>
    <row r="1149">
      <c r="A1149" s="2" t="inlineStr">
        <is>
          <t>R</t>
        </is>
      </c>
      <c r="B1149" s="2" t="inlineStr">
        <is>
          <t>OAS-1C&amp;2C-NC-GE-GN-ELE-EP-1104/2104/3104</t>
        </is>
      </c>
      <c r="C1149" s="2" t="inlineStr">
        <is>
          <t>P</t>
        </is>
      </c>
      <c r="D1149" s="2" t="inlineStr">
        <is>
          <t>Ref. LTA10 - Provision only</t>
        </is>
      </c>
      <c r="E1149" s="2" t="inlineStr">
        <is>
          <t>No</t>
        </is>
      </c>
      <c r="F1149" s="2" t="n">
        <v>12</v>
      </c>
      <c r="G1149" s="2" t="n">
        <v>12</v>
      </c>
      <c r="H1149" s="2" t="n">
        <v>16</v>
      </c>
      <c r="I1149" s="2" t="n">
        <v>16</v>
      </c>
      <c r="J1149" s="2" t="n">
        <v>20</v>
      </c>
      <c r="K1149" s="2" t="n">
        <v>20</v>
      </c>
      <c r="L1149" s="2" t="n">
        <v>6</v>
      </c>
      <c r="M1149" s="2" t="n">
        <v>6</v>
      </c>
      <c r="N1149" s="2" t="n">
        <v>0</v>
      </c>
      <c r="O1149" s="2" t="n">
        <v>0</v>
      </c>
      <c r="P1149" s="2" t="n">
        <v>0</v>
      </c>
      <c r="Q1149" s="2" t="n">
        <v>108</v>
      </c>
      <c r="R1149" s="2" t="n">
        <v>1610</v>
      </c>
      <c r="S1149" s="2" t="n"/>
      <c r="T1149" s="2">
        <f>IF(OR(S1149="",R1149=0),"",ROUND(S1149*R1149,2))</f>
        <v/>
      </c>
      <c r="U1149" s="2" t="inlineStr"/>
    </row>
    <row r="1150">
      <c r="A1150" s="2" t="inlineStr">
        <is>
          <t>R</t>
        </is>
      </c>
      <c r="B1150" s="2" t="inlineStr">
        <is>
          <t>OAS-1C&amp;2C-NC-GE-GN-ELE-EP-1104/2104/3104</t>
        </is>
      </c>
      <c r="C1150" s="2" t="inlineStr">
        <is>
          <t>P</t>
        </is>
      </c>
      <c r="D1150" s="2" t="inlineStr">
        <is>
          <t>Ref. LTA5.3</t>
        </is>
      </c>
      <c r="E1150" s="2" t="inlineStr">
        <is>
          <t>No</t>
        </is>
      </c>
      <c r="F1150" s="2" t="n">
        <v>0</v>
      </c>
      <c r="G1150" s="2" t="n">
        <v>0</v>
      </c>
      <c r="H1150" s="2" t="n">
        <v>0</v>
      </c>
      <c r="I1150" s="2" t="n">
        <v>0</v>
      </c>
      <c r="J1150" s="2" t="n">
        <v>0</v>
      </c>
      <c r="K1150" s="2" t="n">
        <v>0</v>
      </c>
      <c r="L1150" s="2" t="n">
        <v>2</v>
      </c>
      <c r="M1150" s="2" t="n">
        <v>2</v>
      </c>
      <c r="N1150" s="2" t="n">
        <v>0</v>
      </c>
      <c r="O1150" s="2" t="n">
        <v>0</v>
      </c>
      <c r="P1150" s="2" t="n">
        <v>0</v>
      </c>
      <c r="Q1150" s="2" t="n">
        <v>4</v>
      </c>
      <c r="R1150" s="2" t="n">
        <v>74</v>
      </c>
      <c r="S1150" s="2" t="n"/>
      <c r="T1150" s="2">
        <f>IF(OR(S1150="",R1150=0),"",ROUND(S1150*R1150,2))</f>
        <v/>
      </c>
      <c r="U1150" s="2" t="inlineStr"/>
    </row>
    <row r="1151">
      <c r="A1151" s="2" t="inlineStr">
        <is>
          <t>R</t>
        </is>
      </c>
      <c r="B1151" s="2" t="inlineStr">
        <is>
          <t>OAS-1C&amp;2C-NC-GE-GN-ELE-EP-1104/2104/3104</t>
        </is>
      </c>
      <c r="C1151" s="2" t="inlineStr">
        <is>
          <t>Q</t>
        </is>
      </c>
      <c r="D1151" s="2" t="inlineStr">
        <is>
          <t>4Cx70 SQ.mm XLPE/SWA/PVC/Cu+1Cx35 SQ.mm PVC/Cu ECC</t>
        </is>
      </c>
      <c r="E1151" s="2" t="inlineStr">
        <is>
          <t>m</t>
        </is>
      </c>
      <c r="F1151" s="2" t="n">
        <v>0</v>
      </c>
      <c r="G1151" s="2" t="n">
        <v>0</v>
      </c>
      <c r="H1151" s="2" t="n">
        <v>0</v>
      </c>
      <c r="I1151" s="2" t="n">
        <v>0</v>
      </c>
      <c r="J1151" s="2" t="n">
        <v>0</v>
      </c>
      <c r="K1151" s="2" t="n">
        <v>0</v>
      </c>
      <c r="L1151" s="2" t="n">
        <v>26</v>
      </c>
      <c r="M1151" s="2" t="n">
        <v>26</v>
      </c>
      <c r="N1151" s="2" t="n">
        <v>8</v>
      </c>
      <c r="O1151" s="2" t="n">
        <v>0</v>
      </c>
      <c r="P1151" s="2" t="n">
        <v>0</v>
      </c>
      <c r="Q1151" s="2" t="n">
        <v>60</v>
      </c>
      <c r="R1151" s="2" t="n">
        <v>970</v>
      </c>
      <c r="S1151" s="2" t="n"/>
      <c r="T1151" s="2">
        <f>IF(OR(S1151="",R1151=0),"",ROUND(S1151*R1151,2))</f>
        <v/>
      </c>
      <c r="U1151" s="2" t="inlineStr"/>
    </row>
    <row r="1152">
      <c r="A1152" s="2" t="inlineStr">
        <is>
          <t>R</t>
        </is>
      </c>
      <c r="B1152" s="2" t="inlineStr">
        <is>
          <t>OAS-1C&amp;2C-NC-GE-GN-ELE-EP-1104/2104/3104</t>
        </is>
      </c>
      <c r="C1152" s="2" t="inlineStr">
        <is>
          <t>Q</t>
        </is>
      </c>
      <c r="D1152" s="2" t="inlineStr">
        <is>
          <t>Push Button for Gate Barrier</t>
        </is>
      </c>
      <c r="E1152" s="2" t="inlineStr">
        <is>
          <t>No</t>
        </is>
      </c>
      <c r="F1152" s="2" t="n">
        <v>0</v>
      </c>
      <c r="G1152" s="2" t="n">
        <v>0</v>
      </c>
      <c r="H1152" s="2" t="n">
        <v>0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</v>
      </c>
      <c r="O1152" s="2" t="n">
        <v>1</v>
      </c>
      <c r="P1152" s="2" t="n">
        <v>0</v>
      </c>
      <c r="Q1152" s="2" t="n">
        <v>1</v>
      </c>
      <c r="R1152" s="2" t="n">
        <v>1</v>
      </c>
      <c r="S1152" s="2" t="n"/>
      <c r="T1152" s="2">
        <f>IF(OR(S1152="",R1152=0),"",ROUND(S1152*R1152,2))</f>
        <v/>
      </c>
      <c r="U1152" s="2" t="inlineStr"/>
    </row>
    <row r="1153">
      <c r="A1153" s="2" t="inlineStr">
        <is>
          <t>R</t>
        </is>
      </c>
      <c r="B1153" s="2" t="inlineStr">
        <is>
          <t>OAS-1C&amp;2C-NC-GE-GN-ELE-EP-1104/2104/3104</t>
        </is>
      </c>
      <c r="C1153" s="2" t="inlineStr">
        <is>
          <t>Q</t>
        </is>
      </c>
      <c r="D1153" s="2" t="inlineStr">
        <is>
          <t>Push Button for Gate Barrier</t>
        </is>
      </c>
      <c r="E1153" s="2" t="inlineStr">
        <is>
          <t>No</t>
        </is>
      </c>
      <c r="F1153" s="2" t="n">
        <v>0</v>
      </c>
      <c r="G1153" s="2" t="n">
        <v>0</v>
      </c>
      <c r="H1153" s="2" t="n">
        <v>0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0</v>
      </c>
      <c r="N1153" s="2" t="n">
        <v>0</v>
      </c>
      <c r="O1153" s="2" t="n">
        <v>1</v>
      </c>
      <c r="P1153" s="2" t="n">
        <v>0</v>
      </c>
      <c r="Q1153" s="2" t="n">
        <v>1</v>
      </c>
      <c r="R1153" s="2" t="n">
        <v>1</v>
      </c>
      <c r="S1153" s="2" t="n"/>
      <c r="T1153" s="2">
        <f>IF(OR(S1153="",R1153=0),"",ROUND(S1153*R1153,2))</f>
        <v/>
      </c>
      <c r="U1153" s="2" t="inlineStr"/>
    </row>
    <row r="1154">
      <c r="A1154" s="2" t="inlineStr">
        <is>
          <t>R</t>
        </is>
      </c>
      <c r="B1154" s="2" t="inlineStr">
        <is>
          <t>OAS-1C&amp;2C-NC-GE-GN-ELE-EP-1104/2104/3104</t>
        </is>
      </c>
      <c r="C1154" s="2" t="inlineStr">
        <is>
          <t>Q</t>
        </is>
      </c>
      <c r="D1154" s="2" t="inlineStr">
        <is>
          <t>Ref. LTA6.1</t>
        </is>
      </c>
      <c r="E1154" s="2" t="inlineStr">
        <is>
          <t>No</t>
        </is>
      </c>
      <c r="F1154" s="2" t="n">
        <v>8</v>
      </c>
      <c r="G1154" s="2" t="n">
        <v>8</v>
      </c>
      <c r="H1154" s="2" t="n">
        <v>12</v>
      </c>
      <c r="I1154" s="2" t="n">
        <v>12</v>
      </c>
      <c r="J1154" s="2" t="n">
        <v>16</v>
      </c>
      <c r="K1154" s="2" t="n">
        <v>16</v>
      </c>
      <c r="L1154" s="2" t="n">
        <v>4</v>
      </c>
      <c r="M1154" s="2" t="n">
        <v>4</v>
      </c>
      <c r="N1154" s="2" t="n">
        <v>0</v>
      </c>
      <c r="O1154" s="2" t="n">
        <v>0</v>
      </c>
      <c r="P1154" s="2" t="n">
        <v>0</v>
      </c>
      <c r="Q1154" s="2" t="n">
        <v>80</v>
      </c>
      <c r="R1154" s="2" t="n">
        <v>1168</v>
      </c>
      <c r="S1154" s="2" t="n"/>
      <c r="T1154" s="2">
        <f>IF(OR(S1154="",R1154=0),"",ROUND(S1154*R1154,2))</f>
        <v/>
      </c>
      <c r="U1154" s="2" t="inlineStr"/>
    </row>
    <row r="1155">
      <c r="A1155" s="2" t="inlineStr">
        <is>
          <t>R</t>
        </is>
      </c>
      <c r="B1155" s="2" t="inlineStr">
        <is>
          <t>OAS-1C&amp;2C-NC-GE-GN-ELE-EP-1104/2104/3104</t>
        </is>
      </c>
      <c r="C1155" s="2" t="inlineStr">
        <is>
          <t>Q</t>
        </is>
      </c>
      <c r="D1155" s="2" t="inlineStr">
        <is>
          <t>Junction box for future provision at low level</t>
        </is>
      </c>
      <c r="E1155" s="2" t="inlineStr">
        <is>
          <t>No</t>
        </is>
      </c>
      <c r="F1155" s="2" t="n">
        <v>4</v>
      </c>
      <c r="G1155" s="2" t="n">
        <v>4</v>
      </c>
      <c r="H1155" s="2" t="n">
        <v>6</v>
      </c>
      <c r="I1155" s="2" t="n">
        <v>6</v>
      </c>
      <c r="J1155" s="2" t="n">
        <v>8</v>
      </c>
      <c r="K1155" s="2" t="n">
        <v>8</v>
      </c>
      <c r="L1155" s="2" t="n">
        <v>1</v>
      </c>
      <c r="M1155" s="2" t="n">
        <v>1</v>
      </c>
      <c r="N1155" s="2" t="n">
        <v>0</v>
      </c>
      <c r="O1155" s="2" t="n">
        <v>0</v>
      </c>
      <c r="P1155" s="2" t="n">
        <v>0</v>
      </c>
      <c r="Q1155" s="2" t="n">
        <v>38</v>
      </c>
      <c r="R1155" s="2" t="n">
        <v>547</v>
      </c>
      <c r="S1155" s="2" t="n"/>
      <c r="T1155" s="2">
        <f>IF(OR(S1155="",R1155=0),"",ROUND(S1155*R1155,2))</f>
        <v/>
      </c>
      <c r="U1155" s="2" t="inlineStr"/>
    </row>
    <row r="1156">
      <c r="A1156" s="2" t="inlineStr">
        <is>
          <t>R</t>
        </is>
      </c>
      <c r="B1156" s="2" t="inlineStr">
        <is>
          <t>OAS-1C&amp;2C-NC-GE-GN-ELE-EP-1104/2104/3104</t>
        </is>
      </c>
      <c r="C1156" s="2" t="inlineStr">
        <is>
          <t>Q</t>
        </is>
      </c>
      <c r="D1156" s="2" t="inlineStr">
        <is>
          <t>Ref. LTA6.1</t>
        </is>
      </c>
      <c r="E1156" s="2" t="inlineStr">
        <is>
          <t>No</t>
        </is>
      </c>
      <c r="F1156" s="2" t="n">
        <v>8</v>
      </c>
      <c r="G1156" s="2" t="n">
        <v>8</v>
      </c>
      <c r="H1156" s="2" t="n">
        <v>12</v>
      </c>
      <c r="I1156" s="2" t="n">
        <v>12</v>
      </c>
      <c r="J1156" s="2" t="n">
        <v>16</v>
      </c>
      <c r="K1156" s="2" t="n">
        <v>16</v>
      </c>
      <c r="L1156" s="2" t="n">
        <v>4</v>
      </c>
      <c r="M1156" s="2" t="n">
        <v>4</v>
      </c>
      <c r="N1156" s="2" t="n">
        <v>0</v>
      </c>
      <c r="O1156" s="2" t="n">
        <v>0</v>
      </c>
      <c r="P1156" s="2" t="n">
        <v>0</v>
      </c>
      <c r="Q1156" s="2" t="n">
        <v>80</v>
      </c>
      <c r="R1156" s="2" t="n">
        <v>1168</v>
      </c>
      <c r="S1156" s="2" t="n"/>
      <c r="T1156" s="2">
        <f>IF(OR(S1156="",R1156=0),"",ROUND(S1156*R1156,2))</f>
        <v/>
      </c>
      <c r="U1156" s="2" t="inlineStr"/>
    </row>
    <row r="1157">
      <c r="A1157" s="2" t="inlineStr">
        <is>
          <t>R</t>
        </is>
      </c>
      <c r="B1157" s="2" t="inlineStr">
        <is>
          <t>OAS-1C&amp;2C-NC-GE-GN-ELE-EP-1104/2104/3104</t>
        </is>
      </c>
      <c r="C1157" s="2" t="inlineStr">
        <is>
          <t>R</t>
        </is>
      </c>
      <c r="D1157" s="2" t="inlineStr">
        <is>
          <t>4Cx95 SQ.mm XLPE/SWA/PVC/Cu+1Cx50 SQ.mm PVC/Cu ECC</t>
        </is>
      </c>
      <c r="E1157" s="2" t="inlineStr">
        <is>
          <t>m</t>
        </is>
      </c>
      <c r="F1157" s="2" t="n">
        <v>0</v>
      </c>
      <c r="G1157" s="2" t="n">
        <v>0</v>
      </c>
      <c r="H1157" s="2" t="n">
        <v>0</v>
      </c>
      <c r="I1157" s="2" t="n">
        <v>0</v>
      </c>
      <c r="J1157" s="2" t="n">
        <v>0</v>
      </c>
      <c r="K1157" s="2" t="n">
        <v>0</v>
      </c>
      <c r="L1157" s="2" t="n">
        <v>0</v>
      </c>
      <c r="M1157" s="2" t="n">
        <v>0</v>
      </c>
      <c r="N1157" s="2" t="n">
        <v>55</v>
      </c>
      <c r="O1157" s="2" t="n">
        <v>0</v>
      </c>
      <c r="P1157" s="2" t="n">
        <v>0</v>
      </c>
      <c r="Q1157" s="2" t="n">
        <v>55</v>
      </c>
      <c r="R1157" s="2" t="n">
        <v>55</v>
      </c>
      <c r="S1157" s="2" t="n"/>
      <c r="T1157" s="2">
        <f>IF(OR(S1157="",R1157=0),"",ROUND(S1157*R1157,2))</f>
        <v/>
      </c>
      <c r="U1157" s="2" t="inlineStr"/>
    </row>
    <row r="1158">
      <c r="A1158" s="2" t="inlineStr">
        <is>
          <t>R</t>
        </is>
      </c>
      <c r="B1158" s="2" t="inlineStr">
        <is>
          <t>OAS-1C&amp;2C-NC-GE-GN-ELE-EP-1104/2104/3104</t>
        </is>
      </c>
      <c r="C1158" s="2" t="inlineStr">
        <is>
          <t>R</t>
        </is>
      </c>
      <c r="D1158" s="2" t="inlineStr">
        <is>
          <t>Door bell push button</t>
        </is>
      </c>
      <c r="E1158" s="2" t="inlineStr">
        <is>
          <t>No</t>
        </is>
      </c>
      <c r="F1158" s="2" t="n">
        <v>4</v>
      </c>
      <c r="G1158" s="2" t="n">
        <v>4</v>
      </c>
      <c r="H1158" s="2" t="n">
        <v>6</v>
      </c>
      <c r="I1158" s="2" t="n">
        <v>6</v>
      </c>
      <c r="J1158" s="2" t="n">
        <v>8</v>
      </c>
      <c r="K1158" s="2" t="n">
        <v>8</v>
      </c>
      <c r="L1158" s="2" t="n">
        <v>1</v>
      </c>
      <c r="M1158" s="2" t="n">
        <v>1</v>
      </c>
      <c r="N1158" s="2" t="n">
        <v>0</v>
      </c>
      <c r="O1158" s="2" t="n">
        <v>0</v>
      </c>
      <c r="P1158" s="2" t="n">
        <v>0</v>
      </c>
      <c r="Q1158" s="2" t="n">
        <v>38</v>
      </c>
      <c r="R1158" s="2" t="n">
        <v>547</v>
      </c>
      <c r="S1158" s="2" t="n"/>
      <c r="T1158" s="2">
        <f>IF(OR(S1158="",R1158=0),"",ROUND(S1158*R1158,2))</f>
        <v/>
      </c>
      <c r="U1158" s="2" t="inlineStr"/>
    </row>
    <row r="1159">
      <c r="A1159" s="2" t="inlineStr">
        <is>
          <t>R</t>
        </is>
      </c>
      <c r="B1159" s="2" t="inlineStr">
        <is>
          <t>OAS-1C&amp;2C-NC-GE-GN-ELE-EP-1104/2104/3104</t>
        </is>
      </c>
      <c r="C1159" s="2" t="inlineStr">
        <is>
          <t>R</t>
        </is>
      </c>
      <c r="D1159" s="2" t="inlineStr">
        <is>
          <t>Door bell push button</t>
        </is>
      </c>
      <c r="E1159" s="2" t="inlineStr">
        <is>
          <t>No</t>
        </is>
      </c>
      <c r="F1159" s="2" t="n">
        <v>4</v>
      </c>
      <c r="G1159" s="2" t="n">
        <v>4</v>
      </c>
      <c r="H1159" s="2" t="n">
        <v>6</v>
      </c>
      <c r="I1159" s="2" t="n">
        <v>6</v>
      </c>
      <c r="J1159" s="2" t="n">
        <v>8</v>
      </c>
      <c r="K1159" s="2" t="n">
        <v>8</v>
      </c>
      <c r="L1159" s="2" t="n">
        <v>1</v>
      </c>
      <c r="M1159" s="2" t="n">
        <v>1</v>
      </c>
      <c r="N1159" s="2" t="n">
        <v>0</v>
      </c>
      <c r="O1159" s="2" t="n">
        <v>0</v>
      </c>
      <c r="P1159" s="2" t="n">
        <v>0</v>
      </c>
      <c r="Q1159" s="2" t="n">
        <v>38</v>
      </c>
      <c r="R1159" s="2" t="n">
        <v>547</v>
      </c>
      <c r="S1159" s="2" t="n"/>
      <c r="T1159" s="2">
        <f>IF(OR(S1159="",R1159=0),"",ROUND(S1159*R1159,2))</f>
        <v/>
      </c>
      <c r="U1159" s="2" t="inlineStr"/>
    </row>
    <row r="1160">
      <c r="A1160" s="2" t="inlineStr">
        <is>
          <t>R</t>
        </is>
      </c>
      <c r="B1160" s="2" t="inlineStr">
        <is>
          <t>OAS-1C&amp;2C-NC-GE-GN-ELE-EP-1104/2104/3104</t>
        </is>
      </c>
      <c r="C1160" s="2" t="inlineStr">
        <is>
          <t>R</t>
        </is>
      </c>
      <c r="D1160" s="2" t="inlineStr">
        <is>
          <t>Ref. LTA7.2</t>
        </is>
      </c>
      <c r="E1160" s="2" t="inlineStr">
        <is>
          <t>No</t>
        </is>
      </c>
      <c r="F1160" s="2" t="n">
        <v>8</v>
      </c>
      <c r="G1160" s="2" t="n">
        <v>8</v>
      </c>
      <c r="H1160" s="2" t="n">
        <v>12</v>
      </c>
      <c r="I1160" s="2" t="n">
        <v>12</v>
      </c>
      <c r="J1160" s="2" t="n">
        <v>16</v>
      </c>
      <c r="K1160" s="2" t="n">
        <v>16</v>
      </c>
      <c r="L1160" s="2" t="n">
        <v>2</v>
      </c>
      <c r="M1160" s="2" t="n">
        <v>2</v>
      </c>
      <c r="N1160" s="2" t="n">
        <v>0</v>
      </c>
      <c r="O1160" s="2" t="n">
        <v>0</v>
      </c>
      <c r="P1160" s="2" t="n">
        <v>0</v>
      </c>
      <c r="Q1160" s="2" t="n">
        <v>76</v>
      </c>
      <c r="R1160" s="2" t="n">
        <v>1094</v>
      </c>
      <c r="S1160" s="2" t="n"/>
      <c r="T1160" s="2">
        <f>IF(OR(S1160="",R1160=0),"",ROUND(S1160*R1160,2))</f>
        <v/>
      </c>
      <c r="U1160" s="2" t="inlineStr"/>
    </row>
    <row r="1161">
      <c r="A1161" s="2" t="inlineStr">
        <is>
          <t>R</t>
        </is>
      </c>
      <c r="B1161" s="2" t="inlineStr">
        <is>
          <t>OAS-1C&amp;2C-NC-GE-GN-ELE-EP-1104/2104/3104</t>
        </is>
      </c>
      <c r="C1161" s="2" t="inlineStr">
        <is>
          <t>R</t>
        </is>
      </c>
      <c r="D1161" s="2" t="inlineStr">
        <is>
          <t>Junction box for washroom, above ceiling</t>
        </is>
      </c>
      <c r="E1161" s="2" t="inlineStr">
        <is>
          <t>No</t>
        </is>
      </c>
      <c r="F1161" s="2" t="n">
        <v>0</v>
      </c>
      <c r="G1161" s="2" t="n">
        <v>0</v>
      </c>
      <c r="H1161" s="2" t="n">
        <v>0</v>
      </c>
      <c r="I1161" s="2" t="n">
        <v>0</v>
      </c>
      <c r="J1161" s="2" t="n">
        <v>0</v>
      </c>
      <c r="K1161" s="2" t="n">
        <v>0</v>
      </c>
      <c r="L1161" s="2" t="n">
        <v>0</v>
      </c>
      <c r="M1161" s="2" t="n">
        <v>0</v>
      </c>
      <c r="N1161" s="2" t="n">
        <v>4</v>
      </c>
      <c r="O1161" s="2" t="n">
        <v>0</v>
      </c>
      <c r="P1161" s="2" t="n">
        <v>0</v>
      </c>
      <c r="Q1161" s="2" t="n">
        <v>4</v>
      </c>
      <c r="R1161" s="2" t="n">
        <v>4</v>
      </c>
      <c r="S1161" s="2" t="n"/>
      <c r="T1161" s="2">
        <f>IF(OR(S1161="",R1161=0),"",ROUND(S1161*R1161,2))</f>
        <v/>
      </c>
      <c r="U1161" s="2" t="inlineStr"/>
    </row>
    <row r="1162">
      <c r="A1162" s="2" t="inlineStr">
        <is>
          <t>R</t>
        </is>
      </c>
      <c r="B1162" s="2" t="inlineStr">
        <is>
          <t>OAS-1C&amp;2C-NC-GE-GN-ELE-EP-1104/2104/3104</t>
        </is>
      </c>
      <c r="C1162" s="2" t="inlineStr">
        <is>
          <t>R</t>
        </is>
      </c>
      <c r="D1162" s="2" t="inlineStr">
        <is>
          <t>Ref. LTA7.2</t>
        </is>
      </c>
      <c r="E1162" s="2" t="inlineStr">
        <is>
          <t>No</t>
        </is>
      </c>
      <c r="F1162" s="2" t="n">
        <v>8</v>
      </c>
      <c r="G1162" s="2" t="n">
        <v>8</v>
      </c>
      <c r="H1162" s="2" t="n">
        <v>12</v>
      </c>
      <c r="I1162" s="2" t="n">
        <v>12</v>
      </c>
      <c r="J1162" s="2" t="n">
        <v>16</v>
      </c>
      <c r="K1162" s="2" t="n">
        <v>16</v>
      </c>
      <c r="L1162" s="2" t="n">
        <v>2</v>
      </c>
      <c r="M1162" s="2" t="n">
        <v>2</v>
      </c>
      <c r="N1162" s="2" t="n">
        <v>0</v>
      </c>
      <c r="O1162" s="2" t="n">
        <v>0</v>
      </c>
      <c r="P1162" s="2" t="n">
        <v>0</v>
      </c>
      <c r="Q1162" s="2" t="n">
        <v>76</v>
      </c>
      <c r="R1162" s="2" t="n">
        <v>1094</v>
      </c>
      <c r="S1162" s="2" t="n"/>
      <c r="T1162" s="2">
        <f>IF(OR(S1162="",R1162=0),"",ROUND(S1162*R1162,2))</f>
        <v/>
      </c>
      <c r="U1162" s="2" t="inlineStr"/>
    </row>
    <row r="1163">
      <c r="A1163" s="2" t="inlineStr">
        <is>
          <t>R</t>
        </is>
      </c>
      <c r="B1163" s="2" t="inlineStr">
        <is>
          <t>OAS-1C&amp;2C-NC-GE-GN-ELE-EP-1104/2104/3104</t>
        </is>
      </c>
      <c r="C1163" s="2" t="inlineStr">
        <is>
          <t>R</t>
        </is>
      </c>
      <c r="D1163" s="2" t="inlineStr">
        <is>
          <t>Occupancy/Presence sensor</t>
        </is>
      </c>
      <c r="E1163" s="2" t="inlineStr">
        <is>
          <t>No</t>
        </is>
      </c>
      <c r="F1163" s="2" t="n">
        <v>0</v>
      </c>
      <c r="G1163" s="2" t="n">
        <v>0</v>
      </c>
      <c r="H1163" s="2" t="n">
        <v>0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>
        <v>0</v>
      </c>
      <c r="N1163" s="2" t="n">
        <v>17</v>
      </c>
      <c r="O1163" s="2" t="n">
        <v>0</v>
      </c>
      <c r="P1163" s="2" t="n">
        <v>0</v>
      </c>
      <c r="Q1163" s="2" t="n">
        <v>17</v>
      </c>
      <c r="R1163" s="2" t="n">
        <v>17</v>
      </c>
      <c r="S1163" s="2" t="n"/>
      <c r="T1163" s="2">
        <f>IF(OR(S1163="",R1163=0),"",ROUND(S1163*R1163,2))</f>
        <v/>
      </c>
      <c r="U1163" s="2" t="inlineStr"/>
    </row>
    <row r="1164">
      <c r="A1164" s="2" t="inlineStr">
        <is>
          <t>R</t>
        </is>
      </c>
      <c r="B1164" s="2" t="inlineStr">
        <is>
          <t>OAS-1C&amp;2C-NC-GE-GN-ELE-EP-1104/2104/3104</t>
        </is>
      </c>
      <c r="C1164" s="2" t="inlineStr">
        <is>
          <t>S</t>
        </is>
      </c>
      <c r="D1164" s="2" t="inlineStr">
        <is>
          <t>4Cx300 SQ.mm XLPE/SWA/PVC/Cu+1Cx150 SQ.mm PVC/Cu ECC</t>
        </is>
      </c>
      <c r="E1164" s="2" t="inlineStr">
        <is>
          <t>m</t>
        </is>
      </c>
      <c r="F1164" s="2" t="n">
        <v>0</v>
      </c>
      <c r="G1164" s="2" t="n">
        <v>0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0</v>
      </c>
      <c r="N1164" s="2" t="n">
        <v>23</v>
      </c>
      <c r="O1164" s="2" t="n">
        <v>0</v>
      </c>
      <c r="P1164" s="2" t="n">
        <v>0</v>
      </c>
      <c r="Q1164" s="2" t="n">
        <v>23</v>
      </c>
      <c r="R1164" s="2" t="n">
        <v>23</v>
      </c>
      <c r="S1164" s="2" t="n"/>
      <c r="T1164" s="2">
        <f>IF(OR(S1164="",R1164=0),"",ROUND(S1164*R1164,2))</f>
        <v/>
      </c>
      <c r="U1164" s="2" t="inlineStr"/>
    </row>
    <row r="1165">
      <c r="A1165" s="2" t="inlineStr">
        <is>
          <t>R</t>
        </is>
      </c>
      <c r="B1165" s="2" t="inlineStr">
        <is>
          <t>OAS-1C&amp;2C-NC-GE-GN-ELE-EP-1104/2104/3104</t>
        </is>
      </c>
      <c r="C1165" s="2" t="inlineStr">
        <is>
          <t>S</t>
        </is>
      </c>
      <c r="D1165" s="2" t="inlineStr">
        <is>
          <t>Door chime</t>
        </is>
      </c>
      <c r="E1165" s="2" t="inlineStr">
        <is>
          <t>No</t>
        </is>
      </c>
      <c r="F1165" s="2" t="n">
        <v>4</v>
      </c>
      <c r="G1165" s="2" t="n">
        <v>4</v>
      </c>
      <c r="H1165" s="2" t="n">
        <v>6</v>
      </c>
      <c r="I1165" s="2" t="n">
        <v>6</v>
      </c>
      <c r="J1165" s="2" t="n">
        <v>8</v>
      </c>
      <c r="K1165" s="2" t="n">
        <v>8</v>
      </c>
      <c r="L1165" s="2" t="n">
        <v>1</v>
      </c>
      <c r="M1165" s="2" t="n">
        <v>1</v>
      </c>
      <c r="N1165" s="2" t="n">
        <v>0</v>
      </c>
      <c r="O1165" s="2" t="n">
        <v>0</v>
      </c>
      <c r="P1165" s="2" t="n">
        <v>0</v>
      </c>
      <c r="Q1165" s="2" t="n">
        <v>38</v>
      </c>
      <c r="R1165" s="2" t="n">
        <v>547</v>
      </c>
      <c r="S1165" s="2" t="n"/>
      <c r="T1165" s="2">
        <f>IF(OR(S1165="",R1165=0),"",ROUND(S1165*R1165,2))</f>
        <v/>
      </c>
      <c r="U1165" s="2" t="inlineStr"/>
    </row>
    <row r="1166">
      <c r="A1166" s="2" t="inlineStr">
        <is>
          <t>R</t>
        </is>
      </c>
      <c r="B1166" s="2" t="inlineStr">
        <is>
          <t>OAS-1C&amp;2C-NC-GE-GN-ELE-EP-1104/2104/3104</t>
        </is>
      </c>
      <c r="C1166" s="2" t="inlineStr">
        <is>
          <t>S</t>
        </is>
      </c>
      <c r="D1166" s="2" t="inlineStr">
        <is>
          <t>Door chime</t>
        </is>
      </c>
      <c r="E1166" s="2" t="inlineStr">
        <is>
          <t>No</t>
        </is>
      </c>
      <c r="F1166" s="2" t="n">
        <v>4</v>
      </c>
      <c r="G1166" s="2" t="n">
        <v>4</v>
      </c>
      <c r="H1166" s="2" t="n">
        <v>6</v>
      </c>
      <c r="I1166" s="2" t="n">
        <v>6</v>
      </c>
      <c r="J1166" s="2" t="n">
        <v>8</v>
      </c>
      <c r="K1166" s="2" t="n">
        <v>8</v>
      </c>
      <c r="L1166" s="2" t="n">
        <v>1</v>
      </c>
      <c r="M1166" s="2" t="n">
        <v>1</v>
      </c>
      <c r="N1166" s="2" t="n">
        <v>0</v>
      </c>
      <c r="O1166" s="2" t="n">
        <v>0</v>
      </c>
      <c r="P1166" s="2" t="n">
        <v>0</v>
      </c>
      <c r="Q1166" s="2" t="n">
        <v>38</v>
      </c>
      <c r="R1166" s="2" t="n">
        <v>547</v>
      </c>
      <c r="S1166" s="2" t="n"/>
      <c r="T1166" s="2">
        <f>IF(OR(S1166="",R1166=0),"",ROUND(S1166*R1166,2))</f>
        <v/>
      </c>
      <c r="U1166" s="2" t="inlineStr"/>
    </row>
    <row r="1167">
      <c r="A1167" s="2" t="inlineStr">
        <is>
          <t>R</t>
        </is>
      </c>
      <c r="B1167" s="2" t="inlineStr">
        <is>
          <t>OAS-1C&amp;2C-NC-GE-GN-ELE-EP-1104/2104/3104</t>
        </is>
      </c>
      <c r="C1167" s="2" t="inlineStr">
        <is>
          <t>S</t>
        </is>
      </c>
      <c r="D1167" s="2" t="inlineStr">
        <is>
          <t>Ref. LTA8.1</t>
        </is>
      </c>
      <c r="E1167" s="2" t="inlineStr">
        <is>
          <t>No</t>
        </is>
      </c>
      <c r="F1167" s="2" t="n">
        <v>4</v>
      </c>
      <c r="G1167" s="2" t="n">
        <v>4</v>
      </c>
      <c r="H1167" s="2" t="n">
        <v>6</v>
      </c>
      <c r="I1167" s="2" t="n">
        <v>6</v>
      </c>
      <c r="J1167" s="2" t="n">
        <v>8</v>
      </c>
      <c r="K1167" s="2" t="n">
        <v>8</v>
      </c>
      <c r="L1167" s="2" t="n">
        <v>4</v>
      </c>
      <c r="M1167" s="2" t="n">
        <v>4</v>
      </c>
      <c r="N1167" s="2" t="n">
        <v>0</v>
      </c>
      <c r="O1167" s="2" t="n">
        <v>0</v>
      </c>
      <c r="P1167" s="2" t="n">
        <v>0</v>
      </c>
      <c r="Q1167" s="2" t="n">
        <v>44</v>
      </c>
      <c r="R1167" s="2" t="n">
        <v>658</v>
      </c>
      <c r="S1167" s="2" t="n"/>
      <c r="T1167" s="2">
        <f>IF(OR(S1167="",R1167=0),"",ROUND(S1167*R1167,2))</f>
        <v/>
      </c>
      <c r="U1167" s="2" t="inlineStr"/>
    </row>
    <row r="1168">
      <c r="A1168" s="2" t="inlineStr">
        <is>
          <t>R</t>
        </is>
      </c>
      <c r="B1168" s="2" t="inlineStr">
        <is>
          <t>OAS-1C&amp;2C-NC-GE-GN-ELE-EP-1104/2104/3104</t>
        </is>
      </c>
      <c r="C1168" s="2" t="inlineStr">
        <is>
          <t>S</t>
        </is>
      </c>
      <c r="D1168" s="2" t="inlineStr">
        <is>
          <t>Ref. LTA8.1</t>
        </is>
      </c>
      <c r="E1168" s="2" t="inlineStr">
        <is>
          <t>No</t>
        </is>
      </c>
      <c r="F1168" s="2" t="n">
        <v>4</v>
      </c>
      <c r="G1168" s="2" t="n">
        <v>4</v>
      </c>
      <c r="H1168" s="2" t="n">
        <v>6</v>
      </c>
      <c r="I1168" s="2" t="n">
        <v>6</v>
      </c>
      <c r="J1168" s="2" t="n">
        <v>8</v>
      </c>
      <c r="K1168" s="2" t="n">
        <v>8</v>
      </c>
      <c r="L1168" s="2" t="n">
        <v>4</v>
      </c>
      <c r="M1168" s="2" t="n">
        <v>4</v>
      </c>
      <c r="N1168" s="2" t="n">
        <v>0</v>
      </c>
      <c r="O1168" s="2" t="n">
        <v>0</v>
      </c>
      <c r="P1168" s="2" t="n">
        <v>0</v>
      </c>
      <c r="Q1168" s="2" t="n">
        <v>44</v>
      </c>
      <c r="R1168" s="2" t="n">
        <v>658</v>
      </c>
      <c r="S1168" s="2" t="n"/>
      <c r="T1168" s="2">
        <f>IF(OR(S1168="",R1168=0),"",ROUND(S1168*R1168,2))</f>
        <v/>
      </c>
      <c r="U1168" s="2" t="inlineStr"/>
    </row>
    <row r="1169">
      <c r="A1169" s="2" t="inlineStr">
        <is>
          <t>R</t>
        </is>
      </c>
      <c r="B1169" s="2" t="inlineStr">
        <is>
          <t>OAS-1C&amp;2C-NC-GE-GN-ELE-EP-1104/2104/3104</t>
        </is>
      </c>
      <c r="C1169" s="2" t="inlineStr">
        <is>
          <t>T</t>
        </is>
      </c>
      <c r="D1169" s="2" t="inlineStr">
        <is>
          <t>Ref. LTA9.1</t>
        </is>
      </c>
      <c r="E1169" s="2" t="inlineStr">
        <is>
          <t>No</t>
        </is>
      </c>
      <c r="F1169" s="2" t="n">
        <v>24</v>
      </c>
      <c r="G1169" s="2" t="n">
        <v>24</v>
      </c>
      <c r="H1169" s="2" t="n">
        <v>32</v>
      </c>
      <c r="I1169" s="2" t="n">
        <v>32</v>
      </c>
      <c r="J1169" s="2" t="n">
        <v>40</v>
      </c>
      <c r="K1169" s="2" t="n">
        <v>40</v>
      </c>
      <c r="L1169" s="2" t="n">
        <v>11</v>
      </c>
      <c r="M1169" s="2" t="n">
        <v>11</v>
      </c>
      <c r="N1169" s="2" t="n">
        <v>0</v>
      </c>
      <c r="O1169" s="2" t="n">
        <v>0</v>
      </c>
      <c r="P1169" s="2" t="n">
        <v>0</v>
      </c>
      <c r="Q1169" s="2" t="n">
        <v>214</v>
      </c>
      <c r="R1169" s="2" t="n">
        <v>3183</v>
      </c>
      <c r="S1169" s="2" t="n"/>
      <c r="T1169" s="2">
        <f>IF(OR(S1169="",R1169=0),"",ROUND(S1169*R1169,2))</f>
        <v/>
      </c>
      <c r="U1169" s="2" t="inlineStr"/>
    </row>
    <row r="1170">
      <c r="A1170" s="2" t="inlineStr">
        <is>
          <t>R</t>
        </is>
      </c>
      <c r="B1170" s="2" t="inlineStr">
        <is>
          <t>OAS-1C&amp;2C-NC-GE-GN-ELE-EP-1104/2104/3104</t>
        </is>
      </c>
      <c r="C1170" s="2" t="inlineStr">
        <is>
          <t>T</t>
        </is>
      </c>
      <c r="D1170" s="2" t="inlineStr">
        <is>
          <t>Ref. LTA9.1</t>
        </is>
      </c>
      <c r="E1170" s="2" t="inlineStr">
        <is>
          <t>No</t>
        </is>
      </c>
      <c r="F1170" s="2" t="n">
        <v>24</v>
      </c>
      <c r="G1170" s="2" t="n">
        <v>24</v>
      </c>
      <c r="H1170" s="2" t="n">
        <v>32</v>
      </c>
      <c r="I1170" s="2" t="n">
        <v>32</v>
      </c>
      <c r="J1170" s="2" t="n">
        <v>40</v>
      </c>
      <c r="K1170" s="2" t="n">
        <v>40</v>
      </c>
      <c r="L1170" s="2" t="n">
        <v>11</v>
      </c>
      <c r="M1170" s="2" t="n">
        <v>11</v>
      </c>
      <c r="N1170" s="2" t="n">
        <v>0</v>
      </c>
      <c r="O1170" s="2" t="n">
        <v>0</v>
      </c>
      <c r="P1170" s="2" t="n">
        <v>0</v>
      </c>
      <c r="Q1170" s="2" t="n">
        <v>214</v>
      </c>
      <c r="R1170" s="2" t="n">
        <v>3183</v>
      </c>
      <c r="S1170" s="2" t="n"/>
      <c r="T1170" s="2">
        <f>IF(OR(S1170="",R1170=0),"",ROUND(S1170*R1170,2))</f>
        <v/>
      </c>
      <c r="U1170" s="2" t="inlineStr"/>
    </row>
    <row r="1171">
      <c r="A1171" s="2" t="inlineStr">
        <is>
          <t>R</t>
        </is>
      </c>
      <c r="B1171" s="2" t="inlineStr">
        <is>
          <t>OAS-1C&amp;2C-NC-GE-GN-ELE-EP-1104/2104/3104</t>
        </is>
      </c>
      <c r="C1171" s="2" t="inlineStr">
        <is>
          <t>U</t>
        </is>
      </c>
      <c r="D1171" s="2" t="inlineStr">
        <is>
          <t>Ref. DL-106</t>
        </is>
      </c>
      <c r="E1171" s="2" t="inlineStr">
        <is>
          <t>No</t>
        </is>
      </c>
      <c r="F1171" s="2" t="n">
        <v>0</v>
      </c>
      <c r="G1171" s="2" t="n">
        <v>0</v>
      </c>
      <c r="H1171" s="2" t="n">
        <v>0</v>
      </c>
      <c r="I1171" s="2" t="n">
        <v>0</v>
      </c>
      <c r="J1171" s="2" t="n">
        <v>0</v>
      </c>
      <c r="K1171" s="2" t="n">
        <v>0</v>
      </c>
      <c r="L1171" s="2" t="n">
        <v>0</v>
      </c>
      <c r="M1171" s="2" t="n">
        <v>0</v>
      </c>
      <c r="N1171" s="2" t="n">
        <v>4</v>
      </c>
      <c r="O1171" s="2" t="n">
        <v>0</v>
      </c>
      <c r="P1171" s="2" t="n">
        <v>0</v>
      </c>
      <c r="Q1171" s="2" t="n">
        <v>4</v>
      </c>
      <c r="R1171" s="2" t="n">
        <v>4</v>
      </c>
      <c r="S1171" s="2" t="n"/>
      <c r="T1171" s="2">
        <f>IF(OR(S1171="",R1171=0),"",ROUND(S1171*R1171,2))</f>
        <v/>
      </c>
      <c r="U1171" s="2" t="inlineStr"/>
    </row>
    <row r="1172">
      <c r="A1172" s="2" t="inlineStr">
        <is>
          <t>R</t>
        </is>
      </c>
      <c r="B1172" s="2" t="inlineStr">
        <is>
          <t>OAS-1C&amp;2C-NC-GE-GN-ELE-EP-1104/2104/3104</t>
        </is>
      </c>
      <c r="C1172" s="2" t="inlineStr">
        <is>
          <t>U</t>
        </is>
      </c>
      <c r="D1172" s="2" t="inlineStr">
        <is>
          <t>Ref. DL-106 (by Employer)</t>
        </is>
      </c>
      <c r="E1172" s="2" t="inlineStr">
        <is>
          <t>No</t>
        </is>
      </c>
      <c r="F1172" s="2" t="n">
        <v>0</v>
      </c>
      <c r="G1172" s="2" t="n">
        <v>0</v>
      </c>
      <c r="H1172" s="2" t="n">
        <v>0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4</v>
      </c>
      <c r="O1172" s="2" t="n">
        <v>0</v>
      </c>
      <c r="P1172" s="2" t="n">
        <v>0</v>
      </c>
      <c r="Q1172" s="2" t="n">
        <v>4</v>
      </c>
      <c r="R1172" s="2" t="n">
        <v>4</v>
      </c>
      <c r="S1172" s="2" t="n"/>
      <c r="T1172" s="2">
        <f>IF(OR(S1172="",R1172=0),"",ROUND(S1172*R1172,2))</f>
        <v/>
      </c>
      <c r="U1172" s="2" t="inlineStr"/>
    </row>
    <row r="1173">
      <c r="A1173" s="2" t="inlineStr">
        <is>
          <t>R</t>
        </is>
      </c>
      <c r="B1173" s="2" t="inlineStr">
        <is>
          <t>OAS-1C&amp;2C-NC-GE-GN-ELE-EP-1104/2104/3104</t>
        </is>
      </c>
      <c r="C1173" s="2" t="inlineStr">
        <is>
          <t>V</t>
        </is>
      </c>
      <c r="D1173" s="2" t="inlineStr">
        <is>
          <t>Ref. DL-200</t>
        </is>
      </c>
      <c r="E1173" s="2" t="inlineStr">
        <is>
          <t>No</t>
        </is>
      </c>
      <c r="F1173" s="2" t="n">
        <v>0</v>
      </c>
      <c r="G1173" s="2" t="n">
        <v>0</v>
      </c>
      <c r="H1173" s="2" t="n">
        <v>0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0</v>
      </c>
      <c r="N1173" s="2" t="n">
        <v>1</v>
      </c>
      <c r="O1173" s="2" t="n">
        <v>0</v>
      </c>
      <c r="P1173" s="2" t="n">
        <v>0</v>
      </c>
      <c r="Q1173" s="2" t="n">
        <v>1</v>
      </c>
      <c r="R1173" s="2" t="n">
        <v>1</v>
      </c>
      <c r="S1173" s="2" t="n"/>
      <c r="T1173" s="2">
        <f>IF(OR(S1173="",R1173=0),"",ROUND(S1173*R1173,2))</f>
        <v/>
      </c>
      <c r="U1173" s="2" t="inlineStr"/>
    </row>
    <row r="1174">
      <c r="A1174" s="2" t="inlineStr">
        <is>
          <t>R</t>
        </is>
      </c>
      <c r="B1174" s="2" t="inlineStr">
        <is>
          <t>OAS-1C&amp;2C-NC-GE-GN-ELE-EP-1104/2104/3104</t>
        </is>
      </c>
      <c r="C1174" s="2" t="inlineStr">
        <is>
          <t>V</t>
        </is>
      </c>
      <c r="D1174" s="2" t="inlineStr">
        <is>
          <t>Ref. DL-200 (by Employer)</t>
        </is>
      </c>
      <c r="E1174" s="2" t="inlineStr">
        <is>
          <t>No</t>
        </is>
      </c>
      <c r="F1174" s="2" t="n">
        <v>0</v>
      </c>
      <c r="G1174" s="2" t="n">
        <v>0</v>
      </c>
      <c r="H1174" s="2" t="n">
        <v>0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0</v>
      </c>
      <c r="N1174" s="2" t="n">
        <v>1</v>
      </c>
      <c r="O1174" s="2" t="n">
        <v>0</v>
      </c>
      <c r="P1174" s="2" t="n">
        <v>0</v>
      </c>
      <c r="Q1174" s="2" t="n">
        <v>1</v>
      </c>
      <c r="R1174" s="2" t="n">
        <v>1</v>
      </c>
      <c r="S1174" s="2" t="n"/>
      <c r="T1174" s="2">
        <f>IF(OR(S1174="",R1174=0),"",ROUND(S1174*R1174,2))</f>
        <v/>
      </c>
      <c r="U1174" s="2" t="inlineStr"/>
    </row>
    <row r="1175">
      <c r="A1175" s="2" t="inlineStr">
        <is>
          <t>R</t>
        </is>
      </c>
      <c r="B1175" s="2" t="inlineStr">
        <is>
          <t>OAS-1C&amp;2C-NC-GE-GN-ELE-EP-1104/2104/3104</t>
        </is>
      </c>
      <c r="C1175" s="2" t="inlineStr">
        <is>
          <t>W</t>
        </is>
      </c>
      <c r="D1175" s="2" t="inlineStr">
        <is>
          <t>Ref. DL-202</t>
        </is>
      </c>
      <c r="E1175" s="2" t="inlineStr">
        <is>
          <t>No</t>
        </is>
      </c>
      <c r="F1175" s="2" t="n">
        <v>0</v>
      </c>
      <c r="G1175" s="2" t="n">
        <v>0</v>
      </c>
      <c r="H1175" s="2" t="n">
        <v>0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0</v>
      </c>
      <c r="N1175" s="2" t="n">
        <v>6</v>
      </c>
      <c r="O1175" s="2" t="n">
        <v>0</v>
      </c>
      <c r="P1175" s="2" t="n">
        <v>0</v>
      </c>
      <c r="Q1175" s="2" t="n">
        <v>6</v>
      </c>
      <c r="R1175" s="2" t="n">
        <v>6</v>
      </c>
      <c r="S1175" s="2" t="n"/>
      <c r="T1175" s="2">
        <f>IF(OR(S1175="",R1175=0),"",ROUND(S1175*R1175,2))</f>
        <v/>
      </c>
      <c r="U1175" s="2" t="inlineStr"/>
    </row>
    <row r="1176">
      <c r="A1176" s="2" t="inlineStr">
        <is>
          <t>R</t>
        </is>
      </c>
      <c r="B1176" s="2" t="inlineStr">
        <is>
          <t>OAS-1C&amp;2C-NC-GE-GN-ELE-EP-1104/2104/3104</t>
        </is>
      </c>
      <c r="C1176" s="2" t="inlineStr">
        <is>
          <t>W</t>
        </is>
      </c>
      <c r="D1176" s="2" t="inlineStr">
        <is>
          <t>Ref. DL-202 (by Employer)</t>
        </is>
      </c>
      <c r="E1176" s="2" t="inlineStr">
        <is>
          <t>No</t>
        </is>
      </c>
      <c r="F1176" s="2" t="n">
        <v>0</v>
      </c>
      <c r="G1176" s="2" t="n">
        <v>0</v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</v>
      </c>
      <c r="N1176" s="2" t="n">
        <v>6</v>
      </c>
      <c r="O1176" s="2" t="n">
        <v>0</v>
      </c>
      <c r="P1176" s="2" t="n">
        <v>0</v>
      </c>
      <c r="Q1176" s="2" t="n">
        <v>6</v>
      </c>
      <c r="R1176" s="2" t="n">
        <v>6</v>
      </c>
      <c r="S1176" s="2" t="n"/>
      <c r="T1176" s="2">
        <f>IF(OR(S1176="",R1176=0),"",ROUND(S1176*R1176,2))</f>
        <v/>
      </c>
      <c r="U1176" s="2" t="inlineStr"/>
    </row>
    <row r="1177">
      <c r="A1177" s="2" t="inlineStr">
        <is>
          <t>R</t>
        </is>
      </c>
      <c r="B1177" s="2" t="inlineStr">
        <is>
          <t>OAS-1C&amp;2C-NC-GE-GN-ELE-EP-1104/2104/3104</t>
        </is>
      </c>
      <c r="C1177" s="2" t="inlineStr">
        <is>
          <t>X</t>
        </is>
      </c>
      <c r="D1177" s="2" t="inlineStr">
        <is>
          <t>Ref. EX-1</t>
        </is>
      </c>
      <c r="E1177" s="2" t="inlineStr">
        <is>
          <t>No</t>
        </is>
      </c>
      <c r="F1177" s="2" t="n">
        <v>0</v>
      </c>
      <c r="G1177" s="2" t="n">
        <v>0</v>
      </c>
      <c r="H1177" s="2" t="n">
        <v>0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12</v>
      </c>
      <c r="O1177" s="2" t="n">
        <v>0</v>
      </c>
      <c r="P1177" s="2" t="n">
        <v>0</v>
      </c>
      <c r="Q1177" s="2" t="n">
        <v>12</v>
      </c>
      <c r="R1177" s="2" t="n">
        <v>12</v>
      </c>
      <c r="S1177" s="2" t="n"/>
      <c r="T1177" s="2">
        <f>IF(OR(S1177="",R1177=0),"",ROUND(S1177*R1177,2))</f>
        <v/>
      </c>
      <c r="U1177" s="2" t="inlineStr"/>
    </row>
    <row r="1178">
      <c r="A1178" s="2" t="inlineStr">
        <is>
          <t>R</t>
        </is>
      </c>
      <c r="B1178" s="2" t="inlineStr">
        <is>
          <t>OAS-1C&amp;2C-NC-GE-GN-ELE-EP-1104/2104/3104</t>
        </is>
      </c>
      <c r="C1178" s="2" t="inlineStr">
        <is>
          <t>X</t>
        </is>
      </c>
      <c r="D1178" s="2" t="inlineStr">
        <is>
          <t>Ref. EX-1</t>
        </is>
      </c>
      <c r="E1178" s="2" t="inlineStr">
        <is>
          <t>No</t>
        </is>
      </c>
      <c r="F1178" s="2" t="n">
        <v>0</v>
      </c>
      <c r="G1178" s="2" t="n">
        <v>0</v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12</v>
      </c>
      <c r="O1178" s="2" t="n">
        <v>0</v>
      </c>
      <c r="P1178" s="2" t="n">
        <v>0</v>
      </c>
      <c r="Q1178" s="2" t="n">
        <v>12</v>
      </c>
      <c r="R1178" s="2" t="n">
        <v>12</v>
      </c>
      <c r="S1178" s="2" t="n"/>
      <c r="T1178" s="2">
        <f>IF(OR(S1178="",R1178=0),"",ROUND(S1178*R1178,2))</f>
        <v/>
      </c>
      <c r="U1178" s="2" t="inlineStr"/>
    </row>
    <row r="1179">
      <c r="A1179" s="2" t="inlineStr">
        <is>
          <t>R</t>
        </is>
      </c>
      <c r="B1179" s="2" t="inlineStr">
        <is>
          <t>OAS-1C&amp;2C-NC-GE-GN-ELE-EP-1104/2104/3104</t>
        </is>
      </c>
      <c r="C1179" s="2" t="inlineStr">
        <is>
          <t>X</t>
        </is>
      </c>
      <c r="D1179" s="2" t="inlineStr">
        <is>
          <t>Ref. EX-3</t>
        </is>
      </c>
      <c r="E1179" s="2" t="inlineStr">
        <is>
          <t>No</t>
        </is>
      </c>
      <c r="F1179" s="2" t="n">
        <v>0</v>
      </c>
      <c r="G1179" s="2" t="n">
        <v>0</v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4</v>
      </c>
      <c r="O1179" s="2" t="n">
        <v>2</v>
      </c>
      <c r="P1179" s="2" t="n">
        <v>0</v>
      </c>
      <c r="Q1179" s="2" t="n">
        <v>6</v>
      </c>
      <c r="R1179" s="2" t="n">
        <v>6</v>
      </c>
      <c r="S1179" s="2" t="n"/>
      <c r="T1179" s="2">
        <f>IF(OR(S1179="",R1179=0),"",ROUND(S1179*R1179,2))</f>
        <v/>
      </c>
      <c r="U1179" s="2" t="inlineStr"/>
    </row>
    <row r="1180">
      <c r="A1180" s="2" t="inlineStr">
        <is>
          <t>R</t>
        </is>
      </c>
      <c r="B1180" s="2" t="inlineStr">
        <is>
          <t>OAS-1C&amp;2C-NC-GE-GN-ELE-EP-1104/2104/3104</t>
        </is>
      </c>
      <c r="C1180" s="2" t="inlineStr">
        <is>
          <t>Y</t>
        </is>
      </c>
      <c r="D1180" s="2" t="inlineStr">
        <is>
          <t>Ref. EX-3</t>
        </is>
      </c>
      <c r="E1180" s="2" t="inlineStr">
        <is>
          <t>No</t>
        </is>
      </c>
      <c r="F1180" s="2" t="n">
        <v>0</v>
      </c>
      <c r="G1180" s="2" t="n">
        <v>0</v>
      </c>
      <c r="H1180" s="2" t="n">
        <v>0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4</v>
      </c>
      <c r="O1180" s="2" t="n">
        <v>2</v>
      </c>
      <c r="P1180" s="2" t="n">
        <v>0</v>
      </c>
      <c r="Q1180" s="2" t="n">
        <v>6</v>
      </c>
      <c r="R1180" s="2" t="n">
        <v>6</v>
      </c>
      <c r="S1180" s="2" t="n"/>
      <c r="T1180" s="2">
        <f>IF(OR(S1180="",R1180=0),"",ROUND(S1180*R1180,2))</f>
        <v/>
      </c>
      <c r="U1180" s="2" t="inlineStr"/>
    </row>
    <row r="1181">
      <c r="A1181" s="2" t="inlineStr">
        <is>
          <t>R</t>
        </is>
      </c>
      <c r="B1181" s="2" t="inlineStr">
        <is>
          <t>OAS-1C&amp;2C-NC-GE-GN-ELE-EP-1104/2104/3104</t>
        </is>
      </c>
      <c r="C1181" s="2" t="inlineStr">
        <is>
          <t>Y</t>
        </is>
      </c>
      <c r="D1181" s="2" t="inlineStr">
        <is>
          <t>Ref. F4</t>
        </is>
      </c>
      <c r="E1181" s="2" t="inlineStr">
        <is>
          <t>No</t>
        </is>
      </c>
      <c r="F1181" s="2" t="n">
        <v>0</v>
      </c>
      <c r="G1181" s="2" t="n">
        <v>0</v>
      </c>
      <c r="H1181" s="2" t="n">
        <v>0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0</v>
      </c>
      <c r="N1181" s="2" t="n">
        <v>0</v>
      </c>
      <c r="O1181" s="2" t="n">
        <v>2</v>
      </c>
      <c r="P1181" s="2" t="n">
        <v>0</v>
      </c>
      <c r="Q1181" s="2" t="n">
        <v>2</v>
      </c>
      <c r="R1181" s="2" t="n">
        <v>2</v>
      </c>
      <c r="S1181" s="2" t="n"/>
      <c r="T1181" s="2">
        <f>IF(OR(S1181="",R1181=0),"",ROUND(S1181*R1181,2))</f>
        <v/>
      </c>
      <c r="U1181" s="2" t="inlineStr"/>
    </row>
    <row r="1182">
      <c r="A1182" s="2" t="inlineStr">
        <is>
          <t>R</t>
        </is>
      </c>
      <c r="B1182" s="2" t="inlineStr">
        <is>
          <t>OAS-1C&amp;2C-NC-GE-GN-ELE-EP-1104/2104/3104</t>
        </is>
      </c>
      <c r="C1182" s="2" t="inlineStr">
        <is>
          <t>Z</t>
        </is>
      </c>
      <c r="D1182" s="2" t="inlineStr">
        <is>
          <t>LT-02</t>
        </is>
      </c>
      <c r="E1182" s="2" t="inlineStr">
        <is>
          <t>No</t>
        </is>
      </c>
      <c r="F1182" s="2" t="n">
        <v>0</v>
      </c>
      <c r="G1182" s="2" t="n">
        <v>0</v>
      </c>
      <c r="H1182" s="2" t="n">
        <v>0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21</v>
      </c>
      <c r="O1182" s="2" t="n">
        <v>1</v>
      </c>
      <c r="P1182" s="2" t="n">
        <v>0</v>
      </c>
      <c r="Q1182" s="2" t="n">
        <v>22</v>
      </c>
      <c r="R1182" s="2" t="n">
        <v>22</v>
      </c>
      <c r="S1182" s="2" t="n"/>
      <c r="T1182" s="2">
        <f>IF(OR(S1182="",R1182=0),"",ROUND(S1182*R1182,2))</f>
        <v/>
      </c>
      <c r="U1182" s="2" t="inlineStr"/>
    </row>
    <row r="1183">
      <c r="A1183" s="2" t="inlineStr">
        <is>
          <t>R</t>
        </is>
      </c>
      <c r="B1183" s="2" t="inlineStr">
        <is>
          <t>SECURITY - ACCESS CONTROL SYSTEM</t>
        </is>
      </c>
      <c r="C1183" s="2" t="inlineStr">
        <is>
          <t>A</t>
        </is>
      </c>
      <c r="D1183" s="2" t="inlineStr">
        <is>
          <t>Card Reader</t>
        </is>
      </c>
      <c r="E1183" s="2" t="inlineStr">
        <is>
          <t>No</t>
        </is>
      </c>
      <c r="F1183" s="2" t="n">
        <v>0</v>
      </c>
      <c r="G1183" s="2" t="n">
        <v>0</v>
      </c>
      <c r="H1183" s="2" t="n">
        <v>0</v>
      </c>
      <c r="I1183" s="2" t="n">
        <v>0</v>
      </c>
      <c r="J1183" s="2" t="n">
        <v>0</v>
      </c>
      <c r="K1183" s="2" t="n">
        <v>0</v>
      </c>
      <c r="L1183" s="2" t="n">
        <v>0</v>
      </c>
      <c r="M1183" s="2" t="n">
        <v>0</v>
      </c>
      <c r="N1183" s="2" t="n">
        <v>10</v>
      </c>
      <c r="O1183" s="2" t="n">
        <v>1</v>
      </c>
      <c r="P1183" s="2" t="n">
        <v>0</v>
      </c>
      <c r="Q1183" s="2" t="n">
        <v>11</v>
      </c>
      <c r="R1183" s="2" t="n">
        <v>11</v>
      </c>
      <c r="S1183" s="2" t="n"/>
      <c r="T1183" s="2">
        <f>IF(OR(S1183="",R1183=0),"",ROUND(S1183*R1183,2))</f>
        <v/>
      </c>
      <c r="U1183" s="2" t="inlineStr"/>
    </row>
    <row r="1184">
      <c r="A1184" s="2" t="inlineStr">
        <is>
          <t>R</t>
        </is>
      </c>
      <c r="B1184" s="2" t="inlineStr">
        <is>
          <t>SECURITY - ACCESS CONTROL SYSTEM</t>
        </is>
      </c>
      <c r="C1184" s="2" t="inlineStr">
        <is>
          <t>B</t>
        </is>
      </c>
      <c r="D1184" s="2" t="inlineStr">
        <is>
          <t>Long Range Card Reader</t>
        </is>
      </c>
      <c r="E1184" s="2" t="inlineStr">
        <is>
          <t>No</t>
        </is>
      </c>
      <c r="F1184" s="2" t="n">
        <v>0</v>
      </c>
      <c r="G1184" s="2" t="n">
        <v>0</v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 t="n">
        <v>2</v>
      </c>
      <c r="P1184" s="2" t="n">
        <v>0</v>
      </c>
      <c r="Q1184" s="2" t="n">
        <v>2</v>
      </c>
      <c r="R1184" s="2" t="n">
        <v>2</v>
      </c>
      <c r="S1184" s="2" t="n"/>
      <c r="T1184" s="2">
        <f>IF(OR(S1184="",R1184=0),"",ROUND(S1184*R1184,2))</f>
        <v/>
      </c>
      <c r="U1184" s="2" t="inlineStr"/>
    </row>
    <row r="1185">
      <c r="A1185" s="2" t="inlineStr">
        <is>
          <t>R</t>
        </is>
      </c>
      <c r="B1185" s="2" t="inlineStr">
        <is>
          <t>SECURITY - ACCESS CONTROL SYSTEM</t>
        </is>
      </c>
      <c r="C1185" s="2" t="inlineStr">
        <is>
          <t>C</t>
        </is>
      </c>
      <c r="D1185" s="2" t="inlineStr">
        <is>
          <t>Face Recognition Access + Card Reader</t>
        </is>
      </c>
      <c r="E1185" s="2" t="inlineStr">
        <is>
          <t>No</t>
        </is>
      </c>
      <c r="F1185" s="2" t="n">
        <v>0</v>
      </c>
      <c r="G1185" s="2" t="n">
        <v>0</v>
      </c>
      <c r="H1185" s="2" t="n">
        <v>0</v>
      </c>
      <c r="I1185" s="2" t="n">
        <v>0</v>
      </c>
      <c r="J1185" s="2" t="n">
        <v>0</v>
      </c>
      <c r="K1185" s="2" t="n">
        <v>0</v>
      </c>
      <c r="L1185" s="2" t="n">
        <v>0</v>
      </c>
      <c r="M1185" s="2" t="n">
        <v>0</v>
      </c>
      <c r="N1185" s="2" t="n">
        <v>2</v>
      </c>
      <c r="O1185" s="2" t="n">
        <v>0</v>
      </c>
      <c r="P1185" s="2" t="n">
        <v>0</v>
      </c>
      <c r="Q1185" s="2" t="n">
        <v>2</v>
      </c>
      <c r="R1185" s="2" t="n">
        <v>2</v>
      </c>
      <c r="S1185" s="2" t="n"/>
      <c r="T1185" s="2">
        <f>IF(OR(S1185="",R1185=0),"",ROUND(S1185*R1185,2))</f>
        <v/>
      </c>
      <c r="U1185" s="2" t="inlineStr"/>
    </row>
    <row r="1186">
      <c r="A1186" s="2" t="inlineStr">
        <is>
          <t>R</t>
        </is>
      </c>
      <c r="B1186" s="2" t="inlineStr">
        <is>
          <t>SECURITY - ACCESS CONTROL SYSTEM</t>
        </is>
      </c>
      <c r="C1186" s="2" t="inlineStr">
        <is>
          <t>D</t>
        </is>
      </c>
      <c r="D1186" s="2" t="inlineStr">
        <is>
          <t>Break Glass</t>
        </is>
      </c>
      <c r="E1186" s="2" t="inlineStr">
        <is>
          <t>No</t>
        </is>
      </c>
      <c r="F1186" s="2" t="n">
        <v>0</v>
      </c>
      <c r="G1186" s="2" t="n">
        <v>0</v>
      </c>
      <c r="H1186" s="2" t="n">
        <v>0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0</v>
      </c>
      <c r="N1186" s="2" t="n">
        <v>12</v>
      </c>
      <c r="O1186" s="2" t="n">
        <v>1</v>
      </c>
      <c r="P1186" s="2" t="n">
        <v>0</v>
      </c>
      <c r="Q1186" s="2" t="n">
        <v>13</v>
      </c>
      <c r="R1186" s="2" t="n">
        <v>13</v>
      </c>
      <c r="S1186" s="2" t="n"/>
      <c r="T1186" s="2">
        <f>IF(OR(S1186="",R1186=0),"",ROUND(S1186*R1186,2))</f>
        <v/>
      </c>
      <c r="U1186" s="2" t="inlineStr"/>
    </row>
    <row r="1187">
      <c r="A1187" s="2" t="inlineStr">
        <is>
          <t>R</t>
        </is>
      </c>
      <c r="B1187" s="2" t="inlineStr">
        <is>
          <t>SECURITY - ACCESS CONTROL SYSTEM</t>
        </is>
      </c>
      <c r="C1187" s="2" t="inlineStr">
        <is>
          <t>E</t>
        </is>
      </c>
      <c r="D1187" s="2" t="inlineStr">
        <is>
          <t>Push Button</t>
        </is>
      </c>
      <c r="E1187" s="2" t="inlineStr">
        <is>
          <t>No</t>
        </is>
      </c>
      <c r="F1187" s="2" t="n">
        <v>0</v>
      </c>
      <c r="G1187" s="2" t="n">
        <v>0</v>
      </c>
      <c r="H1187" s="2" t="n">
        <v>0</v>
      </c>
      <c r="I1187" s="2" t="n">
        <v>0</v>
      </c>
      <c r="J1187" s="2" t="n">
        <v>0</v>
      </c>
      <c r="K1187" s="2" t="n">
        <v>0</v>
      </c>
      <c r="L1187" s="2" t="n">
        <v>0</v>
      </c>
      <c r="M1187" s="2" t="n">
        <v>0</v>
      </c>
      <c r="N1187" s="2" t="n">
        <v>12</v>
      </c>
      <c r="O1187" s="2" t="n">
        <v>1</v>
      </c>
      <c r="P1187" s="2" t="n">
        <v>0</v>
      </c>
      <c r="Q1187" s="2" t="n">
        <v>13</v>
      </c>
      <c r="R1187" s="2" t="n">
        <v>13</v>
      </c>
      <c r="S1187" s="2" t="n"/>
      <c r="T1187" s="2">
        <f>IF(OR(S1187="",R1187=0),"",ROUND(S1187*R1187,2))</f>
        <v/>
      </c>
      <c r="U1187" s="2" t="inlineStr"/>
    </row>
    <row r="1188">
      <c r="A1188" s="2" t="inlineStr">
        <is>
          <t>R</t>
        </is>
      </c>
      <c r="B1188" s="2" t="inlineStr">
        <is>
          <t>SECURITY - ACCESS CONTROL SYSTEM</t>
        </is>
      </c>
      <c r="C1188" s="2" t="inlineStr">
        <is>
          <t>F</t>
        </is>
      </c>
      <c r="D1188" s="2" t="inlineStr">
        <is>
          <t>Door Contact</t>
        </is>
      </c>
      <c r="E1188" s="2" t="inlineStr">
        <is>
          <t>No</t>
        </is>
      </c>
      <c r="F1188" s="2" t="n">
        <v>0</v>
      </c>
      <c r="G1188" s="2" t="n">
        <v>0</v>
      </c>
      <c r="H1188" s="2" t="n">
        <v>0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0</v>
      </c>
      <c r="N1188" s="2" t="n">
        <v>20</v>
      </c>
      <c r="O1188" s="2" t="n">
        <v>1</v>
      </c>
      <c r="P1188" s="2" t="n">
        <v>0</v>
      </c>
      <c r="Q1188" s="2" t="n">
        <v>21</v>
      </c>
      <c r="R1188" s="2" t="n">
        <v>21</v>
      </c>
      <c r="S1188" s="2" t="n"/>
      <c r="T1188" s="2">
        <f>IF(OR(S1188="",R1188=0),"",ROUND(S1188*R1188,2))</f>
        <v/>
      </c>
      <c r="U1188" s="2" t="inlineStr"/>
    </row>
    <row r="1189">
      <c r="A1189" s="2" t="inlineStr">
        <is>
          <t>R</t>
        </is>
      </c>
      <c r="B1189" s="2" t="inlineStr">
        <is>
          <t>SECURITY - ACCESS CONTROL SYSTEM</t>
        </is>
      </c>
      <c r="C1189" s="2" t="inlineStr">
        <is>
          <t>G</t>
        </is>
      </c>
      <c r="D1189" s="2" t="inlineStr">
        <is>
          <t>Electro Magnetic Lock</t>
        </is>
      </c>
      <c r="E1189" s="2" t="inlineStr">
        <is>
          <t>No</t>
        </is>
      </c>
      <c r="F1189" s="2" t="n">
        <v>0</v>
      </c>
      <c r="G1189" s="2" t="n">
        <v>0</v>
      </c>
      <c r="H1189" s="2" t="n">
        <v>0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n">
        <v>0</v>
      </c>
      <c r="N1189" s="2" t="n">
        <v>20</v>
      </c>
      <c r="O1189" s="2" t="n">
        <v>1</v>
      </c>
      <c r="P1189" s="2" t="n">
        <v>0</v>
      </c>
      <c r="Q1189" s="2" t="n">
        <v>21</v>
      </c>
      <c r="R1189" s="2" t="n">
        <v>21</v>
      </c>
      <c r="S1189" s="2" t="n"/>
      <c r="T1189" s="2">
        <f>IF(OR(S1189="",R1189=0),"",ROUND(S1189*R1189,2))</f>
        <v/>
      </c>
      <c r="U1189" s="2" t="inlineStr"/>
    </row>
    <row r="1190">
      <c r="A1190" s="2" t="inlineStr">
        <is>
          <t>R</t>
        </is>
      </c>
      <c r="B1190" s="2" t="inlineStr">
        <is>
          <t>SECURITY - ACCESS CONTROL SYSTEM</t>
        </is>
      </c>
      <c r="C1190" s="2" t="inlineStr">
        <is>
          <t>H</t>
        </is>
      </c>
      <c r="D1190" s="2" t="inlineStr">
        <is>
          <t>Access Control System Panel</t>
        </is>
      </c>
      <c r="E1190" s="2" t="inlineStr">
        <is>
          <t>No</t>
        </is>
      </c>
      <c r="F1190" s="2" t="n">
        <v>0</v>
      </c>
      <c r="G1190" s="2" t="n">
        <v>0</v>
      </c>
      <c r="H1190" s="2" t="n">
        <v>0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4</v>
      </c>
      <c r="O1190" s="2" t="n">
        <v>0</v>
      </c>
      <c r="P1190" s="2" t="n">
        <v>0</v>
      </c>
      <c r="Q1190" s="2" t="n">
        <v>4</v>
      </c>
      <c r="R1190" s="2" t="n">
        <v>4</v>
      </c>
      <c r="S1190" s="2" t="n"/>
      <c r="T1190" s="2">
        <f>IF(OR(S1190="",R1190=0),"",ROUND(S1190*R1190,2))</f>
        <v/>
      </c>
      <c r="U1190" s="2" t="inlineStr"/>
    </row>
    <row r="1191">
      <c r="A1191" s="2" t="inlineStr">
        <is>
          <t>R</t>
        </is>
      </c>
      <c r="B1191" s="2" t="inlineStr">
        <is>
          <t>SECURITY - ACCESS CONTROL SYSTEM</t>
        </is>
      </c>
      <c r="C1191" s="2" t="inlineStr">
        <is>
          <t>J</t>
        </is>
      </c>
      <c r="D1191" s="2" t="inlineStr">
        <is>
          <t>Access Control Pole</t>
        </is>
      </c>
      <c r="E1191" s="2" t="inlineStr">
        <is>
          <t>No</t>
        </is>
      </c>
      <c r="F1191" s="2" t="n">
        <v>0</v>
      </c>
      <c r="G1191" s="2" t="n">
        <v>0</v>
      </c>
      <c r="H1191" s="2" t="n">
        <v>0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0</v>
      </c>
      <c r="N1191" s="2" t="n">
        <v>10</v>
      </c>
      <c r="O1191" s="2" t="n">
        <v>0</v>
      </c>
      <c r="P1191" s="2" t="n">
        <v>0</v>
      </c>
      <c r="Q1191" s="2" t="n">
        <v>10</v>
      </c>
      <c r="R1191" s="2" t="n">
        <v>10</v>
      </c>
      <c r="S1191" s="2" t="n"/>
      <c r="T1191" s="2">
        <f>IF(OR(S1191="",R1191=0),"",ROUND(S1191*R1191,2))</f>
        <v/>
      </c>
      <c r="U1191" s="2" t="inlineStr"/>
    </row>
    <row r="1192">
      <c r="A1192" s="2" t="inlineStr">
        <is>
          <t>R</t>
        </is>
      </c>
      <c r="B1192" s="2" t="inlineStr">
        <is>
          <t>SECURITY - ACCESS CONTROL SYSTEM</t>
        </is>
      </c>
      <c r="C1192" s="2" t="inlineStr">
        <is>
          <t>L</t>
        </is>
      </c>
      <c r="D1192" s="2" t="inlineStr">
        <is>
          <t>Gate Barier complete with safety loop</t>
        </is>
      </c>
      <c r="E1192" s="2" t="inlineStr">
        <is>
          <t>No</t>
        </is>
      </c>
      <c r="F1192" s="2" t="n">
        <v>0</v>
      </c>
      <c r="G1192" s="2" t="n">
        <v>0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 t="n">
        <v>4</v>
      </c>
      <c r="P1192" s="2" t="n">
        <v>0</v>
      </c>
      <c r="Q1192" s="2" t="n">
        <v>4</v>
      </c>
      <c r="R1192" s="2" t="n">
        <v>4</v>
      </c>
      <c r="S1192" s="2" t="n"/>
      <c r="T1192" s="2">
        <f>IF(OR(S1192="",R1192=0),"",ROUND(S1192*R1192,2))</f>
        <v/>
      </c>
      <c r="U1192" s="2" t="inlineStr"/>
    </row>
    <row r="1193">
      <c r="A1193" s="2" t="inlineStr">
        <is>
          <t>R</t>
        </is>
      </c>
      <c r="B1193" s="2" t="inlineStr">
        <is>
          <t>SECURITY - CCTV SYSTEM</t>
        </is>
      </c>
      <c r="C1193" s="2" t="inlineStr">
        <is>
          <t>A</t>
        </is>
      </c>
      <c r="D1193" s="2" t="inlineStr">
        <is>
          <t>120% Identification Camera</t>
        </is>
      </c>
      <c r="E1193" s="2" t="inlineStr">
        <is>
          <t>No</t>
        </is>
      </c>
      <c r="F1193" s="2" t="n">
        <v>0</v>
      </c>
      <c r="G1193" s="2" t="n">
        <v>0</v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  <c r="N1193" s="2" t="n">
        <v>7</v>
      </c>
      <c r="O1193" s="2" t="n">
        <v>1</v>
      </c>
      <c r="P1193" s="2" t="n">
        <v>0</v>
      </c>
      <c r="Q1193" s="2" t="n">
        <v>8</v>
      </c>
      <c r="R1193" s="2" t="n">
        <v>8</v>
      </c>
      <c r="S1193" s="2" t="n"/>
      <c r="T1193" s="2">
        <f>IF(OR(S1193="",R1193=0),"",ROUND(S1193*R1193,2))</f>
        <v/>
      </c>
      <c r="U1193" s="2" t="inlineStr"/>
    </row>
    <row r="1194">
      <c r="A1194" s="2" t="inlineStr">
        <is>
          <t>R</t>
        </is>
      </c>
      <c r="B1194" s="2" t="inlineStr">
        <is>
          <t>SECURITY - CCTV SYSTEM</t>
        </is>
      </c>
      <c r="C1194" s="2" t="inlineStr">
        <is>
          <t>B</t>
        </is>
      </c>
      <c r="D1194" s="2" t="inlineStr">
        <is>
          <t>50% Recognition Camera</t>
        </is>
      </c>
      <c r="E1194" s="2" t="inlineStr">
        <is>
          <t>No</t>
        </is>
      </c>
      <c r="F1194" s="2" t="n">
        <v>0</v>
      </c>
      <c r="G1194" s="2" t="n">
        <v>0</v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4</v>
      </c>
      <c r="O1194" s="2" t="n">
        <v>4</v>
      </c>
      <c r="P1194" s="2" t="n">
        <v>0</v>
      </c>
      <c r="Q1194" s="2" t="n">
        <v>8</v>
      </c>
      <c r="R1194" s="2" t="n">
        <v>8</v>
      </c>
      <c r="S1194" s="2" t="n"/>
      <c r="T1194" s="2">
        <f>IF(OR(S1194="",R1194=0),"",ROUND(S1194*R1194,2))</f>
        <v/>
      </c>
      <c r="U1194" s="2" t="inlineStr"/>
    </row>
    <row r="1195">
      <c r="A1195" s="2" t="inlineStr">
        <is>
          <t>R</t>
        </is>
      </c>
      <c r="B1195" s="2" t="inlineStr">
        <is>
          <t>SECURITY - CCTV SYSTEM</t>
        </is>
      </c>
      <c r="C1195" s="2" t="inlineStr">
        <is>
          <t>C</t>
        </is>
      </c>
      <c r="D1195" s="2" t="inlineStr">
        <is>
          <t>10% Detection Camera</t>
        </is>
      </c>
      <c r="E1195" s="2" t="inlineStr">
        <is>
          <t>No</t>
        </is>
      </c>
      <c r="F1195" s="2" t="n">
        <v>0</v>
      </c>
      <c r="G1195" s="2" t="n">
        <v>0</v>
      </c>
      <c r="H1195" s="2" t="n">
        <v>0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  <c r="N1195" s="2" t="n">
        <v>21</v>
      </c>
      <c r="O1195" s="2" t="n">
        <v>1</v>
      </c>
      <c r="P1195" s="2" t="n">
        <v>0</v>
      </c>
      <c r="Q1195" s="2" t="n">
        <v>22</v>
      </c>
      <c r="R1195" s="2" t="n">
        <v>22</v>
      </c>
      <c r="S1195" s="2" t="n"/>
      <c r="T1195" s="2">
        <f>IF(OR(S1195="",R1195=0),"",ROUND(S1195*R1195,2))</f>
        <v/>
      </c>
      <c r="U1195" s="2" t="inlineStr"/>
    </row>
    <row r="1196">
      <c r="A1196" s="2" t="inlineStr">
        <is>
          <t>R</t>
        </is>
      </c>
      <c r="B1196" s="2" t="inlineStr">
        <is>
          <t>SECURITY - CCTV SYSTEM</t>
        </is>
      </c>
      <c r="C1196" s="2" t="inlineStr">
        <is>
          <t>D</t>
        </is>
      </c>
      <c r="D1196" s="2" t="inlineStr">
        <is>
          <t>5% Monitoring Camera</t>
        </is>
      </c>
      <c r="E1196" s="2" t="inlineStr">
        <is>
          <t>No</t>
        </is>
      </c>
      <c r="F1196" s="2" t="n">
        <v>0</v>
      </c>
      <c r="G1196" s="2" t="n">
        <v>0</v>
      </c>
      <c r="H1196" s="2" t="n">
        <v>0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</v>
      </c>
      <c r="N1196" s="2" t="n">
        <v>2</v>
      </c>
      <c r="O1196" s="2" t="n">
        <v>0</v>
      </c>
      <c r="P1196" s="2" t="n">
        <v>0</v>
      </c>
      <c r="Q1196" s="2" t="n">
        <v>2</v>
      </c>
      <c r="R1196" s="2" t="n">
        <v>2</v>
      </c>
      <c r="S1196" s="2" t="n"/>
      <c r="T1196" s="2">
        <f>IF(OR(S1196="",R1196=0),"",ROUND(S1196*R1196,2))</f>
        <v/>
      </c>
      <c r="U1196" s="2" t="inlineStr"/>
    </row>
    <row r="1197">
      <c r="A1197" s="2" t="inlineStr">
        <is>
          <t>R</t>
        </is>
      </c>
      <c r="B1197" s="2" t="inlineStr">
        <is>
          <t>SECURITY - CCTV SYSTEM</t>
        </is>
      </c>
      <c r="C1197" s="2" t="inlineStr">
        <is>
          <t>E</t>
        </is>
      </c>
      <c r="D1197" s="2" t="inlineStr">
        <is>
          <t>20% ANPR Camera</t>
        </is>
      </c>
      <c r="E1197" s="2" t="inlineStr">
        <is>
          <t>No</t>
        </is>
      </c>
      <c r="F1197" s="2" t="n">
        <v>0</v>
      </c>
      <c r="G1197" s="2" t="n">
        <v>0</v>
      </c>
      <c r="H1197" s="2" t="n">
        <v>0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0</v>
      </c>
      <c r="N1197" s="2" t="n">
        <v>0</v>
      </c>
      <c r="O1197" s="2" t="n">
        <v>4</v>
      </c>
      <c r="P1197" s="2" t="n">
        <v>0</v>
      </c>
      <c r="Q1197" s="2" t="n">
        <v>4</v>
      </c>
      <c r="R1197" s="2" t="n">
        <v>4</v>
      </c>
      <c r="S1197" s="2" t="n"/>
      <c r="T1197" s="2">
        <f>IF(OR(S1197="",R1197=0),"",ROUND(S1197*R1197,2))</f>
        <v/>
      </c>
      <c r="U1197" s="2" t="inlineStr"/>
    </row>
    <row r="1198">
      <c r="A1198" s="2" t="inlineStr">
        <is>
          <t>R</t>
        </is>
      </c>
      <c r="B1198" s="2" t="inlineStr">
        <is>
          <t>SECURITY - CCTV SYSTEM</t>
        </is>
      </c>
      <c r="C1198" s="2" t="inlineStr">
        <is>
          <t>F</t>
        </is>
      </c>
      <c r="D1198" s="2" t="inlineStr">
        <is>
          <t>9U Security rack, complete with active and passive components, 2kVA UPS</t>
        </is>
      </c>
      <c r="E1198" s="2" t="inlineStr">
        <is>
          <t>No</t>
        </is>
      </c>
      <c r="F1198" s="2" t="n">
        <v>0</v>
      </c>
      <c r="G1198" s="2" t="n">
        <v>0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 t="n">
        <v>1</v>
      </c>
      <c r="P1198" s="2" t="n">
        <v>0</v>
      </c>
      <c r="Q1198" s="2" t="n">
        <v>1</v>
      </c>
      <c r="R1198" s="2" t="n">
        <v>1</v>
      </c>
      <c r="S1198" s="2" t="n"/>
      <c r="T1198" s="2">
        <f>IF(OR(S1198="",R1198=0),"",ROUND(S1198*R1198,2))</f>
        <v/>
      </c>
      <c r="U1198" s="2" t="inlineStr"/>
    </row>
    <row r="1199">
      <c r="A1199" s="2" t="inlineStr">
        <is>
          <t>R</t>
        </is>
      </c>
      <c r="B1199" s="2" t="inlineStr">
        <is>
          <t>SECURITY - CCTV SYSTEM</t>
        </is>
      </c>
      <c r="C1199" s="2" t="inlineStr">
        <is>
          <t>G</t>
        </is>
      </c>
      <c r="D1199" s="2" t="inlineStr">
        <is>
          <t>15U Security rack, complete with active and passive components, 2kVA UPS</t>
        </is>
      </c>
      <c r="E1199" s="2" t="inlineStr">
        <is>
          <t>No</t>
        </is>
      </c>
      <c r="F1199" s="2" t="n">
        <v>0</v>
      </c>
      <c r="G1199" s="2" t="n">
        <v>0</v>
      </c>
      <c r="H1199" s="2" t="n">
        <v>0</v>
      </c>
      <c r="I1199" s="2" t="n">
        <v>0</v>
      </c>
      <c r="J1199" s="2" t="n">
        <v>0</v>
      </c>
      <c r="K1199" s="2" t="n">
        <v>0</v>
      </c>
      <c r="L1199" s="2" t="n">
        <v>0</v>
      </c>
      <c r="M1199" s="2" t="n">
        <v>0</v>
      </c>
      <c r="N1199" s="2" t="n">
        <v>1</v>
      </c>
      <c r="O1199" s="2" t="n">
        <v>0</v>
      </c>
      <c r="P1199" s="2" t="n">
        <v>0</v>
      </c>
      <c r="Q1199" s="2" t="n">
        <v>1</v>
      </c>
      <c r="R1199" s="2" t="n">
        <v>1</v>
      </c>
      <c r="S1199" s="2" t="n"/>
      <c r="T1199" s="2">
        <f>IF(OR(S1199="",R1199=0),"",ROUND(S1199*R1199,2))</f>
        <v/>
      </c>
      <c r="U1199" s="2" t="inlineStr"/>
    </row>
    <row r="1200">
      <c r="A1200" s="2" t="inlineStr">
        <is>
          <t>R</t>
        </is>
      </c>
      <c r="B1200" s="2" t="inlineStr">
        <is>
          <t>SECURITY - CCTV SYSTEM</t>
        </is>
      </c>
      <c r="C1200" s="2" t="inlineStr">
        <is>
          <t>H</t>
        </is>
      </c>
      <c r="D1200" s="2" t="inlineStr">
        <is>
          <t>Full-pledged edged-built AI and analytics enabled to cameras</t>
        </is>
      </c>
      <c r="E1200" s="2" t="inlineStr">
        <is>
          <t>No</t>
        </is>
      </c>
      <c r="F1200" s="2" t="n">
        <v>0</v>
      </c>
      <c r="G1200" s="2" t="n">
        <v>0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  <c r="N1200" s="2" t="n">
        <v>6</v>
      </c>
      <c r="O1200" s="2" t="n">
        <v>0</v>
      </c>
      <c r="P1200" s="2" t="n">
        <v>0</v>
      </c>
      <c r="Q1200" s="2" t="n">
        <v>6</v>
      </c>
      <c r="R1200" s="2" t="n">
        <v>6</v>
      </c>
      <c r="S1200" s="2" t="n"/>
      <c r="T1200" s="2">
        <f>IF(OR(S1200="",R1200=0),"",ROUND(S1200*R1200,2))</f>
        <v/>
      </c>
      <c r="U1200" s="2" t="inlineStr"/>
    </row>
    <row r="1201">
      <c r="A1201" s="2" t="inlineStr">
        <is>
          <t>R</t>
        </is>
      </c>
      <c r="B1201" s="2" t="inlineStr">
        <is>
          <t>SECURITY - CCTV SYSTEM</t>
        </is>
      </c>
      <c r="C1201" s="2" t="inlineStr">
        <is>
          <t>J</t>
        </is>
      </c>
      <c r="D1201" s="2" t="inlineStr">
        <is>
          <t>Pole for external CCTV camera</t>
        </is>
      </c>
      <c r="E1201" s="2" t="inlineStr">
        <is>
          <t>No</t>
        </is>
      </c>
      <c r="F1201" s="2" t="n">
        <v>0</v>
      </c>
      <c r="G1201" s="2" t="n">
        <v>0</v>
      </c>
      <c r="H1201" s="2" t="n">
        <v>0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n">
        <v>0</v>
      </c>
      <c r="N1201" s="2" t="n">
        <v>7</v>
      </c>
      <c r="O1201" s="2" t="n">
        <v>4</v>
      </c>
      <c r="P1201" s="2" t="n">
        <v>0</v>
      </c>
      <c r="Q1201" s="2" t="n">
        <v>11</v>
      </c>
      <c r="R1201" s="2" t="n">
        <v>11</v>
      </c>
      <c r="S1201" s="2" t="n"/>
      <c r="T1201" s="2">
        <f>IF(OR(S1201="",R1201=0),"",ROUND(S1201*R1201,2))</f>
        <v/>
      </c>
      <c r="U1201" s="2" t="inlineStr"/>
    </row>
    <row r="1202">
      <c r="A1202" s="2" t="inlineStr">
        <is>
          <t>R</t>
        </is>
      </c>
      <c r="B1202" s="2" t="inlineStr">
        <is>
          <t>SECURITY - CCTV SYSTEM</t>
        </is>
      </c>
      <c r="C1202" s="2" t="inlineStr">
        <is>
          <t>K</t>
        </is>
      </c>
      <c r="D1202" s="2" t="inlineStr">
        <is>
          <t>Junction Box, 300mm x 150mm for security system</t>
        </is>
      </c>
      <c r="E1202" s="2" t="inlineStr">
        <is>
          <t>No</t>
        </is>
      </c>
      <c r="F1202" s="2" t="n">
        <v>0</v>
      </c>
      <c r="G1202" s="2" t="n">
        <v>0</v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0</v>
      </c>
      <c r="M1202" s="2" t="n">
        <v>0</v>
      </c>
      <c r="N1202" s="2" t="n">
        <v>3</v>
      </c>
      <c r="O1202" s="2" t="n">
        <v>0</v>
      </c>
      <c r="P1202" s="2" t="n">
        <v>0</v>
      </c>
      <c r="Q1202" s="2" t="n">
        <v>3</v>
      </c>
      <c r="R1202" s="2" t="n">
        <v>3</v>
      </c>
      <c r="S1202" s="2" t="n"/>
      <c r="T1202" s="2">
        <f>IF(OR(S1202="",R1202=0),"",ROUND(S1202*R1202,2))</f>
        <v/>
      </c>
      <c r="U1202" s="2" t="inlineStr"/>
    </row>
    <row r="1203">
      <c r="A1203" s="2" t="inlineStr">
        <is>
          <t>R</t>
        </is>
      </c>
      <c r="B1203" s="2" t="inlineStr">
        <is>
          <t>SECURITY - CCTV SYSTEM</t>
        </is>
      </c>
      <c r="C1203" s="2" t="inlineStr">
        <is>
          <t>L</t>
        </is>
      </c>
      <c r="D1203" s="2" t="inlineStr">
        <is>
          <t>100mm diameter underground uPVC ducts</t>
        </is>
      </c>
      <c r="E1203" s="2" t="inlineStr">
        <is>
          <t>m</t>
        </is>
      </c>
      <c r="F1203" s="2" t="n">
        <v>0</v>
      </c>
      <c r="G1203" s="2" t="n">
        <v>0</v>
      </c>
      <c r="H1203" s="2" t="n">
        <v>0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n">
        <v>0</v>
      </c>
      <c r="N1203" s="2" t="n">
        <v>88</v>
      </c>
      <c r="O1203" s="2" t="n">
        <v>0</v>
      </c>
      <c r="P1203" s="2" t="n">
        <v>0</v>
      </c>
      <c r="Q1203" s="2" t="n">
        <v>88</v>
      </c>
      <c r="R1203" s="2" t="n">
        <v>88</v>
      </c>
      <c r="S1203" s="2" t="n"/>
      <c r="T1203" s="2">
        <f>IF(OR(S1203="",R1203=0),"",ROUND(S1203*R1203,2))</f>
        <v/>
      </c>
      <c r="U1203" s="2" t="inlineStr"/>
    </row>
    <row r="1204">
      <c r="A1204" s="2" t="inlineStr">
        <is>
          <t>R</t>
        </is>
      </c>
      <c r="B1204" s="2" t="inlineStr">
        <is>
          <t>SOIL IMPROVEMENT</t>
        </is>
      </c>
      <c r="C1204" s="2" t="inlineStr">
        <is>
          <t>A</t>
        </is>
      </c>
      <c r="D1204" s="2" t="inlineStr">
        <is>
          <t>Soil Improvement - Total for Cluster TH02</t>
        </is>
      </c>
      <c r="E1204" s="2" t="inlineStr">
        <is>
          <t>Item</t>
        </is>
      </c>
      <c r="F1204" s="2" t="n">
        <v>0</v>
      </c>
      <c r="G1204" s="2" t="n">
        <v>0</v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0</v>
      </c>
      <c r="Q1204" s="2" t="n">
        <v>0</v>
      </c>
      <c r="R1204" s="2" t="n">
        <v>0</v>
      </c>
      <c r="S1204" s="2" t="n"/>
      <c r="T1204" s="2">
        <f>IF(OR(S1204="",R1204=0),"",ROUND(S1204*R1204,2))</f>
        <v/>
      </c>
      <c r="U1204" s="2" t="inlineStr"/>
    </row>
    <row r="1205">
      <c r="A1205" s="2" t="inlineStr">
        <is>
          <t>R</t>
        </is>
      </c>
      <c r="B1205" s="2" t="inlineStr">
        <is>
          <t>SOIL IMPROVEMENT</t>
        </is>
      </c>
      <c r="C1205" s="2" t="inlineStr">
        <is>
          <t>B</t>
        </is>
      </c>
      <c r="D1205" s="2" t="inlineStr">
        <is>
          <t>Cluster TH02: Cone Penetration Tests (CPTs) or Standard Penetration Tests (SPTs) verification, Refer Soil Report REF. NO. R3/DX24-081(TH02)-R00)</t>
        </is>
      </c>
      <c r="E1205" s="2" t="inlineStr">
        <is>
          <t>Item</t>
        </is>
      </c>
      <c r="F1205" s="2" t="n">
        <v>0</v>
      </c>
      <c r="G1205" s="2" t="n">
        <v>0</v>
      </c>
      <c r="H1205" s="2" t="n">
        <v>0</v>
      </c>
      <c r="I1205" s="2" t="n">
        <v>0</v>
      </c>
      <c r="J1205" s="2" t="n">
        <v>0</v>
      </c>
      <c r="K1205" s="2" t="n">
        <v>0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0</v>
      </c>
      <c r="Q1205" s="2" t="n">
        <v>0</v>
      </c>
      <c r="R1205" s="2" t="n">
        <v>0</v>
      </c>
      <c r="S1205" s="2" t="n"/>
      <c r="T1205" s="2">
        <f>IF(OR(S1205="",R1205=0),"",ROUND(S1205*R1205,2))</f>
        <v/>
      </c>
      <c r="U1205" s="2" t="inlineStr"/>
    </row>
    <row r="1206">
      <c r="A1206" s="2" t="inlineStr">
        <is>
          <t>R</t>
        </is>
      </c>
      <c r="B1206" s="2" t="inlineStr">
        <is>
          <t>SUNDRIES</t>
        </is>
      </c>
      <c r="C1206" s="2" t="inlineStr">
        <is>
          <t>A</t>
        </is>
      </c>
      <c r="D1206" s="2" t="inlineStr">
        <is>
          <t>Allow for liaison, co-ordination and attendance on Public Authorities work to meet the requirement of the Specification</t>
        </is>
      </c>
      <c r="E1206" s="2" t="inlineStr">
        <is>
          <t>Item</t>
        </is>
      </c>
      <c r="F1206" s="2" t="n">
        <v>1</v>
      </c>
      <c r="G1206" s="2" t="n">
        <v>1</v>
      </c>
      <c r="H1206" s="2" t="n">
        <v>1</v>
      </c>
      <c r="I1206" s="2" t="n">
        <v>1</v>
      </c>
      <c r="J1206" s="2" t="n">
        <v>1</v>
      </c>
      <c r="K1206" s="2" t="n">
        <v>1</v>
      </c>
      <c r="L1206" s="2" t="n">
        <v>1</v>
      </c>
      <c r="M1206" s="2" t="n">
        <v>1</v>
      </c>
      <c r="N1206" s="2" t="n">
        <v>1</v>
      </c>
      <c r="O1206" s="2" t="n">
        <v>1</v>
      </c>
      <c r="P1206" s="2" t="n">
        <v>0</v>
      </c>
      <c r="Q1206" s="2" t="n">
        <v>10</v>
      </c>
      <c r="R1206" s="2" t="n">
        <v>131</v>
      </c>
      <c r="S1206" s="2" t="n"/>
      <c r="T1206" s="2">
        <f>IF(OR(S1206="",R1206=0),"",ROUND(S1206*R1206,2))</f>
        <v/>
      </c>
      <c r="U1206" s="2" t="inlineStr"/>
    </row>
    <row r="1207">
      <c r="A1207" s="2" t="inlineStr">
        <is>
          <t>R</t>
        </is>
      </c>
      <c r="B1207" s="2" t="inlineStr">
        <is>
          <t>SUNDRIES</t>
        </is>
      </c>
      <c r="C1207" s="2" t="inlineStr">
        <is>
          <t>B</t>
        </is>
      </c>
      <c r="D1207" s="2" t="inlineStr">
        <is>
          <t>Allow for termination of DEWA cables</t>
        </is>
      </c>
      <c r="E1207" s="2" t="inlineStr">
        <is>
          <t>Item</t>
        </is>
      </c>
      <c r="F1207" s="2" t="n">
        <v>1</v>
      </c>
      <c r="G1207" s="2" t="n">
        <v>1</v>
      </c>
      <c r="H1207" s="2" t="n">
        <v>1</v>
      </c>
      <c r="I1207" s="2" t="n">
        <v>1</v>
      </c>
      <c r="J1207" s="2" t="n">
        <v>1</v>
      </c>
      <c r="K1207" s="2" t="n">
        <v>1</v>
      </c>
      <c r="L1207" s="2" t="n">
        <v>1</v>
      </c>
      <c r="M1207" s="2" t="n">
        <v>1</v>
      </c>
      <c r="N1207" s="2" t="n">
        <v>1</v>
      </c>
      <c r="O1207" s="2" t="n">
        <v>1</v>
      </c>
      <c r="P1207" s="2" t="n">
        <v>0</v>
      </c>
      <c r="Q1207" s="2" t="n">
        <v>10</v>
      </c>
      <c r="R1207" s="2" t="n">
        <v>131</v>
      </c>
      <c r="S1207" s="2" t="n"/>
      <c r="T1207" s="2">
        <f>IF(OR(S1207="",R1207=0),"",ROUND(S1207*R1207,2))</f>
        <v/>
      </c>
      <c r="U1207" s="2" t="inlineStr"/>
    </row>
    <row r="1208">
      <c r="A1208" s="2" t="inlineStr">
        <is>
          <t>R</t>
        </is>
      </c>
      <c r="B1208" s="2" t="inlineStr">
        <is>
          <t>SUNDRIES</t>
        </is>
      </c>
      <c r="C1208" s="2" t="inlineStr">
        <is>
          <t>C</t>
        </is>
      </c>
      <c r="D1208" s="2" t="inlineStr">
        <is>
          <t>Supports including fixings, anchors, insulating blocks, anti-vibration devices and the like</t>
        </is>
      </c>
      <c r="E1208" s="2" t="inlineStr">
        <is>
          <t>Item</t>
        </is>
      </c>
      <c r="F1208" s="2" t="n">
        <v>1</v>
      </c>
      <c r="G1208" s="2" t="n">
        <v>1</v>
      </c>
      <c r="H1208" s="2" t="n">
        <v>1</v>
      </c>
      <c r="I1208" s="2" t="n">
        <v>1</v>
      </c>
      <c r="J1208" s="2" t="n">
        <v>1</v>
      </c>
      <c r="K1208" s="2" t="n">
        <v>1</v>
      </c>
      <c r="L1208" s="2" t="n">
        <v>1</v>
      </c>
      <c r="M1208" s="2" t="n">
        <v>1</v>
      </c>
      <c r="N1208" s="2" t="n">
        <v>1</v>
      </c>
      <c r="O1208" s="2" t="n">
        <v>1</v>
      </c>
      <c r="P1208" s="2" t="n">
        <v>0</v>
      </c>
      <c r="Q1208" s="2" t="n">
        <v>10</v>
      </c>
      <c r="R1208" s="2" t="n">
        <v>131</v>
      </c>
      <c r="S1208" s="2" t="n"/>
      <c r="T1208" s="2">
        <f>IF(OR(S1208="",R1208=0),"",ROUND(S1208*R1208,2))</f>
        <v/>
      </c>
      <c r="U1208" s="2" t="inlineStr"/>
    </row>
    <row r="1209">
      <c r="A1209" s="2" t="inlineStr">
        <is>
          <t>R</t>
        </is>
      </c>
      <c r="B1209" s="2" t="inlineStr">
        <is>
          <t>SUNDRIES</t>
        </is>
      </c>
      <c r="C1209" s="2" t="inlineStr">
        <is>
          <t>D</t>
        </is>
      </c>
      <c r="D1209" s="2" t="inlineStr">
        <is>
          <t>Identification including plates, discs, labels, charts, colour coding and the like</t>
        </is>
      </c>
      <c r="E1209" s="2" t="inlineStr">
        <is>
          <t>Item</t>
        </is>
      </c>
      <c r="F1209" s="2" t="n">
        <v>1</v>
      </c>
      <c r="G1209" s="2" t="n">
        <v>1</v>
      </c>
      <c r="H1209" s="2" t="n">
        <v>1</v>
      </c>
      <c r="I1209" s="2" t="n">
        <v>1</v>
      </c>
      <c r="J1209" s="2" t="n">
        <v>1</v>
      </c>
      <c r="K1209" s="2" t="n">
        <v>1</v>
      </c>
      <c r="L1209" s="2" t="n">
        <v>1</v>
      </c>
      <c r="M1209" s="2" t="n">
        <v>1</v>
      </c>
      <c r="N1209" s="2" t="n">
        <v>1</v>
      </c>
      <c r="O1209" s="2" t="n">
        <v>1</v>
      </c>
      <c r="P1209" s="2" t="n">
        <v>0</v>
      </c>
      <c r="Q1209" s="2" t="n">
        <v>10</v>
      </c>
      <c r="R1209" s="2" t="n">
        <v>131</v>
      </c>
      <c r="S1209" s="2" t="n"/>
      <c r="T1209" s="2">
        <f>IF(OR(S1209="",R1209=0),"",ROUND(S1209*R1209,2))</f>
        <v/>
      </c>
      <c r="U1209" s="2" t="inlineStr"/>
    </row>
    <row r="1210">
      <c r="A1210" s="2" t="inlineStr">
        <is>
          <t>R</t>
        </is>
      </c>
      <c r="B1210" s="2" t="inlineStr">
        <is>
          <t>SUNDRIES</t>
        </is>
      </c>
      <c r="C1210" s="2" t="inlineStr">
        <is>
          <t>E</t>
        </is>
      </c>
      <c r="D1210" s="2" t="inlineStr">
        <is>
          <t>Tools and spares including loose keys and consumable stores</t>
        </is>
      </c>
      <c r="E1210" s="2" t="inlineStr">
        <is>
          <t>Item</t>
        </is>
      </c>
      <c r="F1210" s="2" t="n">
        <v>1</v>
      </c>
      <c r="G1210" s="2" t="n">
        <v>1</v>
      </c>
      <c r="H1210" s="2" t="n">
        <v>1</v>
      </c>
      <c r="I1210" s="2" t="n">
        <v>1</v>
      </c>
      <c r="J1210" s="2" t="n">
        <v>1</v>
      </c>
      <c r="K1210" s="2" t="n">
        <v>1</v>
      </c>
      <c r="L1210" s="2" t="n">
        <v>1</v>
      </c>
      <c r="M1210" s="2" t="n">
        <v>1</v>
      </c>
      <c r="N1210" s="2" t="n">
        <v>1</v>
      </c>
      <c r="O1210" s="2" t="n">
        <v>1</v>
      </c>
      <c r="P1210" s="2" t="n">
        <v>0</v>
      </c>
      <c r="Q1210" s="2" t="n">
        <v>10</v>
      </c>
      <c r="R1210" s="2" t="n">
        <v>131</v>
      </c>
      <c r="S1210" s="2" t="n"/>
      <c r="T1210" s="2">
        <f>IF(OR(S1210="",R1210=0),"",ROUND(S1210*R1210,2))</f>
        <v/>
      </c>
      <c r="U1210" s="2" t="inlineStr"/>
    </row>
    <row r="1211">
      <c r="A1211" s="2" t="inlineStr">
        <is>
          <t>R</t>
        </is>
      </c>
      <c r="B1211" s="2" t="inlineStr">
        <is>
          <t>SUNDRIES</t>
        </is>
      </c>
      <c r="C1211" s="2" t="inlineStr">
        <is>
          <t>F</t>
        </is>
      </c>
      <c r="D1211" s="2" t="inlineStr">
        <is>
          <t>Documents including drawings, operating instructions and maintenance manuals</t>
        </is>
      </c>
      <c r="E1211" s="2" t="inlineStr">
        <is>
          <t>Item</t>
        </is>
      </c>
      <c r="F1211" s="2" t="n">
        <v>1</v>
      </c>
      <c r="G1211" s="2" t="n">
        <v>1</v>
      </c>
      <c r="H1211" s="2" t="n">
        <v>1</v>
      </c>
      <c r="I1211" s="2" t="n">
        <v>1</v>
      </c>
      <c r="J1211" s="2" t="n">
        <v>1</v>
      </c>
      <c r="K1211" s="2" t="n">
        <v>1</v>
      </c>
      <c r="L1211" s="2" t="n">
        <v>1</v>
      </c>
      <c r="M1211" s="2" t="n">
        <v>1</v>
      </c>
      <c r="N1211" s="2" t="n">
        <v>1</v>
      </c>
      <c r="O1211" s="2" t="n">
        <v>1</v>
      </c>
      <c r="P1211" s="2" t="n">
        <v>0</v>
      </c>
      <c r="Q1211" s="2" t="n">
        <v>10</v>
      </c>
      <c r="R1211" s="2" t="n">
        <v>131</v>
      </c>
      <c r="S1211" s="2" t="n"/>
      <c r="T1211" s="2">
        <f>IF(OR(S1211="",R1211=0),"",ROUND(S1211*R1211,2))</f>
        <v/>
      </c>
      <c r="U1211" s="2" t="inlineStr"/>
    </row>
    <row r="1212">
      <c r="A1212" s="2" t="inlineStr">
        <is>
          <t>R</t>
        </is>
      </c>
      <c r="B1212" s="2" t="inlineStr">
        <is>
          <t>SUNDRIES</t>
        </is>
      </c>
      <c r="C1212" s="2" t="inlineStr">
        <is>
          <t>G</t>
        </is>
      </c>
      <c r="D1212" s="2" t="inlineStr">
        <is>
          <t>Testing and commissioning of Electrical system</t>
        </is>
      </c>
      <c r="E1212" s="2" t="inlineStr">
        <is>
          <t>Item</t>
        </is>
      </c>
      <c r="F1212" s="2" t="n">
        <v>1</v>
      </c>
      <c r="G1212" s="2" t="n">
        <v>1</v>
      </c>
      <c r="H1212" s="2" t="n">
        <v>1</v>
      </c>
      <c r="I1212" s="2" t="n">
        <v>1</v>
      </c>
      <c r="J1212" s="2" t="n">
        <v>1</v>
      </c>
      <c r="K1212" s="2" t="n">
        <v>1</v>
      </c>
      <c r="L1212" s="2" t="n">
        <v>1</v>
      </c>
      <c r="M1212" s="2" t="n">
        <v>1</v>
      </c>
      <c r="N1212" s="2" t="n">
        <v>1</v>
      </c>
      <c r="O1212" s="2" t="n">
        <v>1</v>
      </c>
      <c r="P1212" s="2" t="n">
        <v>0</v>
      </c>
      <c r="Q1212" s="2" t="n">
        <v>10</v>
      </c>
      <c r="R1212" s="2" t="n">
        <v>131</v>
      </c>
      <c r="S1212" s="2" t="n"/>
      <c r="T1212" s="2">
        <f>IF(OR(S1212="",R1212=0),"",ROUND(S1212*R1212,2))</f>
        <v/>
      </c>
      <c r="U1212" s="2" t="inlineStr"/>
    </row>
    <row r="1213">
      <c r="A1213" s="2" t="inlineStr">
        <is>
          <t>R</t>
        </is>
      </c>
      <c r="B1213" s="2" t="inlineStr">
        <is>
          <t>SUNDRIES</t>
        </is>
      </c>
      <c r="C1213" s="2" t="inlineStr">
        <is>
          <t>J</t>
        </is>
      </c>
      <c r="D1213" s="2" t="inlineStr">
        <is>
          <t>Co-ordination with other engineering installations</t>
        </is>
      </c>
      <c r="E1213" s="2" t="inlineStr">
        <is>
          <t>Item</t>
        </is>
      </c>
      <c r="F1213" s="2" t="n">
        <v>1</v>
      </c>
      <c r="G1213" s="2" t="n">
        <v>1</v>
      </c>
      <c r="H1213" s="2" t="n">
        <v>1</v>
      </c>
      <c r="I1213" s="2" t="n">
        <v>1</v>
      </c>
      <c r="J1213" s="2" t="n">
        <v>1</v>
      </c>
      <c r="K1213" s="2" t="n">
        <v>1</v>
      </c>
      <c r="L1213" s="2" t="n">
        <v>1</v>
      </c>
      <c r="M1213" s="2" t="n">
        <v>1</v>
      </c>
      <c r="N1213" s="2" t="n">
        <v>1</v>
      </c>
      <c r="O1213" s="2" t="n">
        <v>1</v>
      </c>
      <c r="P1213" s="2" t="n">
        <v>0</v>
      </c>
      <c r="Q1213" s="2" t="n">
        <v>10</v>
      </c>
      <c r="R1213" s="2" t="n">
        <v>131</v>
      </c>
      <c r="S1213" s="2" t="n"/>
      <c r="T1213" s="2">
        <f>IF(OR(S1213="",R1213=0),"",ROUND(S1213*R1213,2))</f>
        <v/>
      </c>
      <c r="U1213" s="2" t="inlineStr"/>
    </row>
    <row r="1214">
      <c r="A1214" s="2" t="inlineStr">
        <is>
          <t>R</t>
        </is>
      </c>
      <c r="B1214" s="2" t="inlineStr">
        <is>
          <t>SUNDRIES</t>
        </is>
      </c>
      <c r="C1214" s="2" t="inlineStr">
        <is>
          <t>K</t>
        </is>
      </c>
      <c r="D1214" s="2" t="inlineStr">
        <is>
          <t>Cutting or forming holes, mortices, chases and the like and making good finishings</t>
        </is>
      </c>
      <c r="E1214" s="2" t="inlineStr">
        <is>
          <t>Item</t>
        </is>
      </c>
      <c r="F1214" s="2" t="n">
        <v>1</v>
      </c>
      <c r="G1214" s="2" t="n">
        <v>1</v>
      </c>
      <c r="H1214" s="2" t="n">
        <v>1</v>
      </c>
      <c r="I1214" s="2" t="n">
        <v>1</v>
      </c>
      <c r="J1214" s="2" t="n">
        <v>1</v>
      </c>
      <c r="K1214" s="2" t="n">
        <v>1</v>
      </c>
      <c r="L1214" s="2" t="n">
        <v>1</v>
      </c>
      <c r="M1214" s="2" t="n">
        <v>1</v>
      </c>
      <c r="N1214" s="2" t="n">
        <v>1</v>
      </c>
      <c r="O1214" s="2" t="n">
        <v>1</v>
      </c>
      <c r="P1214" s="2" t="n">
        <v>0</v>
      </c>
      <c r="Q1214" s="2" t="n">
        <v>10</v>
      </c>
      <c r="R1214" s="2" t="n">
        <v>131</v>
      </c>
      <c r="S1214" s="2" t="n"/>
      <c r="T1214" s="2">
        <f>IF(OR(S1214="",R1214=0),"",ROUND(S1214*R1214,2))</f>
        <v/>
      </c>
      <c r="U1214" s="2" t="inlineStr"/>
    </row>
    <row r="1215">
      <c r="A1215" s="2" t="inlineStr">
        <is>
          <t>R</t>
        </is>
      </c>
      <c r="B1215" s="2" t="inlineStr">
        <is>
          <t>SUNDRIES</t>
        </is>
      </c>
      <c r="C1215" s="2" t="inlineStr">
        <is>
          <t>N</t>
        </is>
      </c>
      <c r="D1215" s="2" t="inlineStr">
        <is>
          <t>Decorative Painting to electrical engineering systems including  cleaning and polishing exposed surfaces</t>
        </is>
      </c>
      <c r="E1215" s="2" t="inlineStr">
        <is>
          <t>Item</t>
        </is>
      </c>
      <c r="F1215" s="2" t="n">
        <v>1</v>
      </c>
      <c r="G1215" s="2" t="n">
        <v>1</v>
      </c>
      <c r="H1215" s="2" t="n">
        <v>1</v>
      </c>
      <c r="I1215" s="2" t="n">
        <v>1</v>
      </c>
      <c r="J1215" s="2" t="n">
        <v>1</v>
      </c>
      <c r="K1215" s="2" t="n">
        <v>1</v>
      </c>
      <c r="L1215" s="2" t="n">
        <v>1</v>
      </c>
      <c r="M1215" s="2" t="n">
        <v>1</v>
      </c>
      <c r="N1215" s="2" t="n">
        <v>1</v>
      </c>
      <c r="O1215" s="2" t="n">
        <v>1</v>
      </c>
      <c r="P1215" s="2" t="n">
        <v>0</v>
      </c>
      <c r="Q1215" s="2" t="n">
        <v>10</v>
      </c>
      <c r="R1215" s="2" t="n">
        <v>131</v>
      </c>
      <c r="S1215" s="2" t="n"/>
      <c r="T1215" s="2">
        <f>IF(OR(S1215="",R1215=0),"",ROUND(S1215*R1215,2))</f>
        <v/>
      </c>
      <c r="U1215" s="2" t="inlineStr"/>
    </row>
    <row r="1216">
      <c r="A1216" s="2" t="inlineStr">
        <is>
          <t>R</t>
        </is>
      </c>
      <c r="B1216" s="2" t="inlineStr">
        <is>
          <t>TELEPHONE AND DATA SYSTEM</t>
        </is>
      </c>
      <c r="C1216" s="2" t="inlineStr">
        <is>
          <t>A</t>
        </is>
      </c>
      <c r="D1216" s="2" t="inlineStr">
        <is>
          <t>Single RJ45 data outlet</t>
        </is>
      </c>
      <c r="E1216" s="2" t="inlineStr">
        <is>
          <t>No</t>
        </is>
      </c>
      <c r="F1216" s="2" t="n">
        <v>0</v>
      </c>
      <c r="G1216" s="2" t="n">
        <v>0</v>
      </c>
      <c r="H1216" s="2" t="n">
        <v>0</v>
      </c>
      <c r="I1216" s="2" t="n">
        <v>0</v>
      </c>
      <c r="J1216" s="2" t="n">
        <v>0</v>
      </c>
      <c r="K1216" s="2" t="n">
        <v>0</v>
      </c>
      <c r="L1216" s="2" t="n">
        <v>0</v>
      </c>
      <c r="M1216" s="2" t="n">
        <v>0</v>
      </c>
      <c r="N1216" s="2" t="n">
        <v>2</v>
      </c>
      <c r="O1216" s="2" t="n">
        <v>1</v>
      </c>
      <c r="P1216" s="2" t="n">
        <v>0</v>
      </c>
      <c r="Q1216" s="2" t="n">
        <v>3</v>
      </c>
      <c r="R1216" s="2" t="n">
        <v>3</v>
      </c>
      <c r="S1216" s="2" t="n"/>
      <c r="T1216" s="2">
        <f>IF(OR(S1216="",R1216=0),"",ROUND(S1216*R1216,2))</f>
        <v/>
      </c>
      <c r="U1216" s="2" t="inlineStr"/>
    </row>
    <row r="1217">
      <c r="A1217" s="2" t="inlineStr">
        <is>
          <t>R</t>
        </is>
      </c>
      <c r="B1217" s="2" t="inlineStr">
        <is>
          <t>TELEPHONE AND DATA SYSTEM</t>
        </is>
      </c>
      <c r="C1217" s="2" t="inlineStr">
        <is>
          <t>B</t>
        </is>
      </c>
      <c r="D1217" s="2" t="inlineStr">
        <is>
          <t>Dual RJ45 data outlet</t>
        </is>
      </c>
      <c r="E1217" s="2" t="inlineStr">
        <is>
          <t>No</t>
        </is>
      </c>
      <c r="F1217" s="2" t="n">
        <v>26</v>
      </c>
      <c r="G1217" s="2" t="n">
        <v>26</v>
      </c>
      <c r="H1217" s="2" t="n">
        <v>38</v>
      </c>
      <c r="I1217" s="2" t="n">
        <v>38</v>
      </c>
      <c r="J1217" s="2" t="n">
        <v>50</v>
      </c>
      <c r="K1217" s="2" t="n">
        <v>50</v>
      </c>
      <c r="L1217" s="2" t="n">
        <v>9</v>
      </c>
      <c r="M1217" s="2" t="n">
        <v>9</v>
      </c>
      <c r="N1217" s="2" t="n">
        <v>11</v>
      </c>
      <c r="O1217" s="2" t="n">
        <v>1</v>
      </c>
      <c r="P1217" s="2" t="n">
        <v>0</v>
      </c>
      <c r="Q1217" s="2" t="n">
        <v>258</v>
      </c>
      <c r="R1217" s="2" t="n">
        <v>3589</v>
      </c>
      <c r="S1217" s="2" t="n"/>
      <c r="T1217" s="2">
        <f>IF(OR(S1217="",R1217=0),"",ROUND(S1217*R1217,2))</f>
        <v/>
      </c>
      <c r="U1217" s="2" t="inlineStr"/>
    </row>
    <row r="1218">
      <c r="A1218" s="2" t="inlineStr">
        <is>
          <t>R</t>
        </is>
      </c>
      <c r="B1218" s="2" t="inlineStr">
        <is>
          <t>TELEPHONE AND DATA SYSTEM</t>
        </is>
      </c>
      <c r="C1218" s="2" t="inlineStr">
        <is>
          <t>C</t>
        </is>
      </c>
      <c r="D1218" s="2" t="inlineStr">
        <is>
          <t>Telephone junction box, 300 x 300 x 150mm</t>
        </is>
      </c>
      <c r="E1218" s="2" t="inlineStr">
        <is>
          <t>No</t>
        </is>
      </c>
      <c r="F1218" s="2" t="n">
        <v>8</v>
      </c>
      <c r="G1218" s="2" t="n">
        <v>8</v>
      </c>
      <c r="H1218" s="2" t="n">
        <v>12</v>
      </c>
      <c r="I1218" s="2" t="n">
        <v>12</v>
      </c>
      <c r="J1218" s="2" t="n">
        <v>16</v>
      </c>
      <c r="K1218" s="2" t="n">
        <v>16</v>
      </c>
      <c r="L1218" s="2" t="n">
        <v>3</v>
      </c>
      <c r="M1218" s="2" t="n">
        <v>3</v>
      </c>
      <c r="N1218" s="2" t="n">
        <v>0</v>
      </c>
      <c r="O1218" s="2" t="n">
        <v>0</v>
      </c>
      <c r="P1218" s="2" t="n">
        <v>0</v>
      </c>
      <c r="Q1218" s="2" t="n">
        <v>78</v>
      </c>
      <c r="R1218" s="2" t="n">
        <v>1131</v>
      </c>
      <c r="S1218" s="2" t="n"/>
      <c r="T1218" s="2">
        <f>IF(OR(S1218="",R1218=0),"",ROUND(S1218*R1218,2))</f>
        <v/>
      </c>
      <c r="U1218" s="2" t="inlineStr"/>
    </row>
    <row r="1219">
      <c r="A1219" s="2" t="inlineStr">
        <is>
          <t>R</t>
        </is>
      </c>
      <c r="B1219" s="2" t="inlineStr">
        <is>
          <t>TELEPHONE AND DATA SYSTEM</t>
        </is>
      </c>
      <c r="C1219" s="2" t="inlineStr">
        <is>
          <t>D</t>
        </is>
      </c>
      <c r="D1219" s="2" t="inlineStr">
        <is>
          <t>Ref. ONU, Optical network unit (12U cabinet) (600 x 600 x 150mm)</t>
        </is>
      </c>
      <c r="E1219" s="2" t="inlineStr">
        <is>
          <t>No</t>
        </is>
      </c>
      <c r="F1219" s="2" t="n">
        <v>4</v>
      </c>
      <c r="G1219" s="2" t="n">
        <v>4</v>
      </c>
      <c r="H1219" s="2" t="n">
        <v>6</v>
      </c>
      <c r="I1219" s="2" t="n">
        <v>6</v>
      </c>
      <c r="J1219" s="2" t="n">
        <v>8</v>
      </c>
      <c r="K1219" s="2" t="n">
        <v>8</v>
      </c>
      <c r="L1219" s="2" t="n">
        <v>1</v>
      </c>
      <c r="M1219" s="2" t="n">
        <v>1</v>
      </c>
      <c r="N1219" s="2" t="n">
        <v>0</v>
      </c>
      <c r="O1219" s="2" t="n">
        <v>0</v>
      </c>
      <c r="P1219" s="2" t="n">
        <v>0</v>
      </c>
      <c r="Q1219" s="2" t="n">
        <v>38</v>
      </c>
      <c r="R1219" s="2" t="n">
        <v>547</v>
      </c>
      <c r="S1219" s="2" t="n"/>
      <c r="T1219" s="2">
        <f>IF(OR(S1219="",R1219=0),"",ROUND(S1219*R1219,2))</f>
        <v/>
      </c>
      <c r="U1219" s="2" t="inlineStr"/>
    </row>
    <row r="1220">
      <c r="A1220" s="2" t="inlineStr">
        <is>
          <t>R</t>
        </is>
      </c>
      <c r="B1220" s="2" t="inlineStr">
        <is>
          <t>TELEPHONE AND DATA SYSTEM</t>
        </is>
      </c>
      <c r="C1220" s="2" t="inlineStr">
        <is>
          <t>E</t>
        </is>
      </c>
      <c r="D1220" s="2" t="inlineStr">
        <is>
          <t>50 PVC conduit to 1st and 2nd floors</t>
        </is>
      </c>
      <c r="E1220" s="2" t="inlineStr">
        <is>
          <t>m</t>
        </is>
      </c>
      <c r="F1220" s="2" t="n">
        <v>40</v>
      </c>
      <c r="G1220" s="2" t="n">
        <v>40</v>
      </c>
      <c r="H1220" s="2" t="n">
        <v>60</v>
      </c>
      <c r="I1220" s="2" t="n">
        <v>60</v>
      </c>
      <c r="J1220" s="2" t="n">
        <v>80</v>
      </c>
      <c r="K1220" s="2" t="n">
        <v>80</v>
      </c>
      <c r="L1220" s="2" t="n">
        <v>13</v>
      </c>
      <c r="M1220" s="2" t="n">
        <v>13</v>
      </c>
      <c r="N1220" s="2" t="n">
        <v>0</v>
      </c>
      <c r="O1220" s="2" t="n">
        <v>0</v>
      </c>
      <c r="P1220" s="2" t="n">
        <v>0</v>
      </c>
      <c r="Q1220" s="2" t="n">
        <v>386</v>
      </c>
      <c r="R1220" s="2" t="n">
        <v>5581</v>
      </c>
      <c r="S1220" s="2" t="n"/>
      <c r="T1220" s="2">
        <f>IF(OR(S1220="",R1220=0),"",ROUND(S1220*R1220,2))</f>
        <v/>
      </c>
      <c r="U1220" s="2" t="inlineStr"/>
    </row>
    <row r="1221">
      <c r="A1221" s="2" t="inlineStr">
        <is>
          <t>R</t>
        </is>
      </c>
      <c r="B1221" s="2" t="inlineStr">
        <is>
          <t>TELEPHONE AND DATA SYSTEM</t>
        </is>
      </c>
      <c r="C1221" s="2" t="inlineStr">
        <is>
          <t>F</t>
        </is>
      </c>
      <c r="D1221" s="2" t="inlineStr">
        <is>
          <t>2 x 50 PVC conduit</t>
        </is>
      </c>
      <c r="E1221" s="2" t="inlineStr">
        <is>
          <t>m</t>
        </is>
      </c>
      <c r="F1221" s="2" t="n">
        <v>40</v>
      </c>
      <c r="G1221" s="2" t="n">
        <v>40</v>
      </c>
      <c r="H1221" s="2" t="n">
        <v>60</v>
      </c>
      <c r="I1221" s="2" t="n">
        <v>60</v>
      </c>
      <c r="J1221" s="2" t="n">
        <v>80</v>
      </c>
      <c r="K1221" s="2" t="n">
        <v>80</v>
      </c>
      <c r="L1221" s="2" t="n">
        <v>10</v>
      </c>
      <c r="M1221" s="2" t="n">
        <v>10</v>
      </c>
      <c r="N1221" s="2" t="n">
        <v>0</v>
      </c>
      <c r="O1221" s="2" t="n">
        <v>0</v>
      </c>
      <c r="P1221" s="2" t="n">
        <v>0</v>
      </c>
      <c r="Q1221" s="2" t="n">
        <v>380</v>
      </c>
      <c r="R1221" s="2" t="n">
        <v>5470</v>
      </c>
      <c r="S1221" s="2" t="n"/>
      <c r="T1221" s="2">
        <f>IF(OR(S1221="",R1221=0),"",ROUND(S1221*R1221,2))</f>
        <v/>
      </c>
      <c r="U1221" s="2" t="inlineStr"/>
    </row>
    <row r="1222">
      <c r="A1222" s="2" t="inlineStr">
        <is>
          <t>R</t>
        </is>
      </c>
      <c r="B1222" s="2" t="inlineStr">
        <is>
          <t>TELEPHONE AND DATA SYSTEM</t>
        </is>
      </c>
      <c r="C1222" s="2" t="inlineStr">
        <is>
          <t>G</t>
        </is>
      </c>
      <c r="D1222" s="2" t="inlineStr">
        <is>
          <t>Junction box for AV/ICT, 300 x 300 x 150mm</t>
        </is>
      </c>
      <c r="E1222" s="2" t="inlineStr">
        <is>
          <t>No</t>
        </is>
      </c>
      <c r="F1222" s="2" t="n">
        <v>0</v>
      </c>
      <c r="G1222" s="2" t="n">
        <v>0</v>
      </c>
      <c r="H1222" s="2" t="n">
        <v>0</v>
      </c>
      <c r="I1222" s="2" t="n">
        <v>0</v>
      </c>
      <c r="J1222" s="2" t="n">
        <v>0</v>
      </c>
      <c r="K1222" s="2" t="n">
        <v>0</v>
      </c>
      <c r="L1222" s="2" t="n">
        <v>0</v>
      </c>
      <c r="M1222" s="2" t="n">
        <v>0</v>
      </c>
      <c r="N1222" s="2" t="n">
        <v>3</v>
      </c>
      <c r="O1222" s="2" t="n">
        <v>0</v>
      </c>
      <c r="P1222" s="2" t="n">
        <v>0</v>
      </c>
      <c r="Q1222" s="2" t="n">
        <v>3</v>
      </c>
      <c r="R1222" s="2" t="n">
        <v>3</v>
      </c>
      <c r="S1222" s="2" t="n"/>
      <c r="T1222" s="2">
        <f>IF(OR(S1222="",R1222=0),"",ROUND(S1222*R1222,2))</f>
        <v/>
      </c>
      <c r="U1222" s="2" t="inlineStr"/>
    </row>
    <row r="1223">
      <c r="A1223" s="2" t="inlineStr">
        <is>
          <t>R</t>
        </is>
      </c>
      <c r="B1223" s="2" t="inlineStr">
        <is>
          <t>TELEPHONE AND DATA SYSTEM</t>
        </is>
      </c>
      <c r="C1223" s="2" t="inlineStr">
        <is>
          <t>H</t>
        </is>
      </c>
      <c r="D1223" s="2" t="inlineStr">
        <is>
          <t>Wireless access point ceiling mounted</t>
        </is>
      </c>
      <c r="E1223" s="2" t="inlineStr">
        <is>
          <t>No</t>
        </is>
      </c>
      <c r="F1223" s="2" t="n">
        <v>0</v>
      </c>
      <c r="G1223" s="2" t="n">
        <v>0</v>
      </c>
      <c r="H1223" s="2" t="n">
        <v>0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0</v>
      </c>
      <c r="N1223" s="2" t="n">
        <v>3</v>
      </c>
      <c r="O1223" s="2" t="n">
        <v>0</v>
      </c>
      <c r="P1223" s="2" t="n">
        <v>0</v>
      </c>
      <c r="Q1223" s="2" t="n">
        <v>3</v>
      </c>
      <c r="R1223" s="2" t="n">
        <v>3</v>
      </c>
      <c r="S1223" s="2" t="n"/>
      <c r="T1223" s="2">
        <f>IF(OR(S1223="",R1223=0),"",ROUND(S1223*R1223,2))</f>
        <v/>
      </c>
      <c r="U1223" s="2" t="inlineStr"/>
    </row>
    <row r="1224">
      <c r="A1224" s="2" t="inlineStr">
        <is>
          <t>R</t>
        </is>
      </c>
      <c r="B1224" s="2" t="inlineStr">
        <is>
          <t>TELEPHONE AND DATA SYSTEM</t>
        </is>
      </c>
      <c r="C1224" s="2" t="inlineStr">
        <is>
          <t>J</t>
        </is>
      </c>
      <c r="D1224" s="2" t="inlineStr">
        <is>
          <t>Wireless access point wall mounted, W/P</t>
        </is>
      </c>
      <c r="E1224" s="2" t="inlineStr">
        <is>
          <t>No</t>
        </is>
      </c>
      <c r="F1224" s="2" t="n">
        <v>0</v>
      </c>
      <c r="G1224" s="2" t="n">
        <v>0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6</v>
      </c>
      <c r="O1224" s="2" t="n">
        <v>0</v>
      </c>
      <c r="P1224" s="2" t="n">
        <v>0</v>
      </c>
      <c r="Q1224" s="2" t="n">
        <v>6</v>
      </c>
      <c r="R1224" s="2" t="n">
        <v>6</v>
      </c>
      <c r="S1224" s="2" t="n"/>
      <c r="T1224" s="2">
        <f>IF(OR(S1224="",R1224=0),"",ROUND(S1224*R1224,2))</f>
        <v/>
      </c>
      <c r="U1224" s="2" t="inlineStr"/>
    </row>
    <row r="1225">
      <c r="A1225" s="2" t="inlineStr">
        <is>
          <t>R</t>
        </is>
      </c>
      <c r="B1225" s="2" t="inlineStr">
        <is>
          <t>TELEPHONE AND DATA SYSTEM</t>
        </is>
      </c>
      <c r="C1225" s="2" t="inlineStr">
        <is>
          <t>K</t>
        </is>
      </c>
      <c r="D1225" s="2" t="inlineStr">
        <is>
          <t>42U ICT/AV Rack complete with active and passive components with rack mounted UPS</t>
        </is>
      </c>
      <c r="E1225" s="2" t="inlineStr">
        <is>
          <t>No</t>
        </is>
      </c>
      <c r="F1225" s="2" t="n">
        <v>0</v>
      </c>
      <c r="G1225" s="2" t="n">
        <v>0</v>
      </c>
      <c r="H1225" s="2" t="n">
        <v>0</v>
      </c>
      <c r="I1225" s="2" t="n">
        <v>0</v>
      </c>
      <c r="J1225" s="2" t="n">
        <v>0</v>
      </c>
      <c r="K1225" s="2" t="n">
        <v>0</v>
      </c>
      <c r="L1225" s="2" t="n">
        <v>0</v>
      </c>
      <c r="M1225" s="2" t="n">
        <v>0</v>
      </c>
      <c r="N1225" s="2" t="n">
        <v>1</v>
      </c>
      <c r="O1225" s="2" t="n">
        <v>0</v>
      </c>
      <c r="P1225" s="2" t="n">
        <v>0</v>
      </c>
      <c r="Q1225" s="2" t="n">
        <v>1</v>
      </c>
      <c r="R1225" s="2" t="n">
        <v>1</v>
      </c>
      <c r="S1225" s="2" t="n"/>
      <c r="T1225" s="2">
        <f>IF(OR(S1225="",R1225=0),"",ROUND(S1225*R1225,2))</f>
        <v/>
      </c>
      <c r="U1225" s="2" t="inlineStr"/>
    </row>
    <row r="1226">
      <c r="A1226" s="2" t="inlineStr">
        <is>
          <t>R</t>
        </is>
      </c>
      <c r="B1226" s="2" t="inlineStr">
        <is>
          <t>TELEPHONE AND DATA SYSTEM</t>
        </is>
      </c>
      <c r="C1226" s="2" t="inlineStr">
        <is>
          <t>L</t>
        </is>
      </c>
      <c r="D1226" s="2" t="inlineStr">
        <is>
          <t>9U ICT Rack wall mounted complete with active and passisve components with 2kVA UPS</t>
        </is>
      </c>
      <c r="E1226" s="2" t="inlineStr">
        <is>
          <t>No</t>
        </is>
      </c>
      <c r="F1226" s="2" t="n">
        <v>0</v>
      </c>
      <c r="G1226" s="2" t="n">
        <v>0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0</v>
      </c>
      <c r="O1226" s="2" t="n">
        <v>1</v>
      </c>
      <c r="P1226" s="2" t="n">
        <v>0</v>
      </c>
      <c r="Q1226" s="2" t="n">
        <v>1</v>
      </c>
      <c r="R1226" s="2" t="n">
        <v>1</v>
      </c>
      <c r="S1226" s="2" t="n"/>
      <c r="T1226" s="2">
        <f>IF(OR(S1226="",R1226=0),"",ROUND(S1226*R1226,2))</f>
        <v/>
      </c>
      <c r="U1226" s="2" t="inlineStr"/>
    </row>
    <row r="1227">
      <c r="A1227" s="2" t="inlineStr">
        <is>
          <t>R</t>
        </is>
      </c>
      <c r="B1227" s="2" t="inlineStr">
        <is>
          <t>TELEPHONE AND DATA SYSTEM</t>
        </is>
      </c>
      <c r="C1227" s="2" t="inlineStr">
        <is>
          <t>M</t>
        </is>
      </c>
      <c r="D1227" s="2" t="inlineStr">
        <is>
          <t>100mm dia. uPVC duct for ICT/AV cables</t>
        </is>
      </c>
      <c r="E1227" s="2" t="inlineStr">
        <is>
          <t>No</t>
        </is>
      </c>
      <c r="F1227" s="2" t="n">
        <v>0</v>
      </c>
      <c r="G1227" s="2" t="n">
        <v>0</v>
      </c>
      <c r="H1227" s="2" t="n">
        <v>0</v>
      </c>
      <c r="I1227" s="2" t="n">
        <v>0</v>
      </c>
      <c r="J1227" s="2" t="n">
        <v>0</v>
      </c>
      <c r="K1227" s="2" t="n">
        <v>0</v>
      </c>
      <c r="L1227" s="2" t="n">
        <v>0</v>
      </c>
      <c r="M1227" s="2" t="n">
        <v>0</v>
      </c>
      <c r="N1227" s="2" t="n">
        <v>92</v>
      </c>
      <c r="O1227" s="2" t="n">
        <v>0</v>
      </c>
      <c r="P1227" s="2" t="n">
        <v>0</v>
      </c>
      <c r="Q1227" s="2" t="n">
        <v>92</v>
      </c>
      <c r="R1227" s="2" t="n">
        <v>92</v>
      </c>
      <c r="S1227" s="2" t="n"/>
      <c r="T1227" s="2">
        <f>IF(OR(S1227="",R1227=0),"",ROUND(S1227*R1227,2))</f>
        <v/>
      </c>
      <c r="U1227" s="2" t="inlineStr"/>
    </row>
    <row r="1228">
      <c r="A1228" s="2" t="inlineStr">
        <is>
          <t>R</t>
        </is>
      </c>
      <c r="B1228" s="2" t="inlineStr">
        <is>
          <t>TELEPHONE AND DATA SYSTEM</t>
        </is>
      </c>
      <c r="C1228" s="2" t="inlineStr">
        <is>
          <t>N</t>
        </is>
      </c>
      <c r="D1228" s="2" t="inlineStr">
        <is>
          <t>2 x 100mm dia. uPVC duct for ICT/AV cables</t>
        </is>
      </c>
      <c r="E1228" s="2" t="inlineStr">
        <is>
          <t>No</t>
        </is>
      </c>
      <c r="F1228" s="2" t="n">
        <v>0</v>
      </c>
      <c r="G1228" s="2" t="n">
        <v>0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8</v>
      </c>
      <c r="O1228" s="2" t="n">
        <v>0</v>
      </c>
      <c r="P1228" s="2" t="n">
        <v>0</v>
      </c>
      <c r="Q1228" s="2" t="n">
        <v>8</v>
      </c>
      <c r="R1228" s="2" t="n">
        <v>8</v>
      </c>
      <c r="S1228" s="2" t="n"/>
      <c r="T1228" s="2">
        <f>IF(OR(S1228="",R1228=0),"",ROUND(S1228*R1228,2))</f>
        <v/>
      </c>
      <c r="U1228" s="2" t="inlineStr"/>
    </row>
    <row r="1229">
      <c r="A1229" s="2" t="inlineStr">
        <is>
          <t>R</t>
        </is>
      </c>
      <c r="B1229" s="2" t="inlineStr">
        <is>
          <t>TELEPHONE AND DATA SYSTEM</t>
        </is>
      </c>
      <c r="C1229" s="2" t="inlineStr">
        <is>
          <t>P</t>
        </is>
      </c>
      <c r="D1229" s="2" t="inlineStr">
        <is>
          <t>ELV Manhole 600 x 600 x 800mm Grade A cover</t>
        </is>
      </c>
      <c r="E1229" s="2" t="inlineStr">
        <is>
          <t>No</t>
        </is>
      </c>
      <c r="F1229" s="2" t="n">
        <v>0</v>
      </c>
      <c r="G1229" s="2" t="n">
        <v>0</v>
      </c>
      <c r="H1229" s="2" t="n">
        <v>0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0</v>
      </c>
      <c r="N1229" s="2" t="n">
        <v>6</v>
      </c>
      <c r="O1229" s="2" t="n">
        <v>0</v>
      </c>
      <c r="P1229" s="2" t="n">
        <v>0</v>
      </c>
      <c r="Q1229" s="2" t="n">
        <v>6</v>
      </c>
      <c r="R1229" s="2" t="n">
        <v>6</v>
      </c>
      <c r="S1229" s="2" t="n"/>
      <c r="T1229" s="2">
        <f>IF(OR(S1229="",R1229=0),"",ROUND(S1229*R1229,2))</f>
        <v/>
      </c>
      <c r="U1229" s="2" t="inlineStr"/>
    </row>
    <row r="1230">
      <c r="A1230" s="2" t="inlineStr">
        <is>
          <t>R</t>
        </is>
      </c>
      <c r="B1230" s="2" t="inlineStr">
        <is>
          <t>VIDEO INTERCOM SYSTEM</t>
        </is>
      </c>
      <c r="C1230" s="2" t="inlineStr">
        <is>
          <t>F</t>
        </is>
      </c>
      <c r="D1230" s="2" t="inlineStr">
        <is>
          <t>Intercom outdoor unit</t>
        </is>
      </c>
      <c r="E1230" s="2" t="inlineStr">
        <is>
          <t>No</t>
        </is>
      </c>
      <c r="F1230" s="2" t="n">
        <v>0</v>
      </c>
      <c r="G1230" s="2" t="n">
        <v>0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1</v>
      </c>
      <c r="M1230" s="2" t="n">
        <v>1</v>
      </c>
      <c r="N1230" s="2" t="n">
        <v>0</v>
      </c>
      <c r="O1230" s="2" t="n">
        <v>0</v>
      </c>
      <c r="P1230" s="2" t="n">
        <v>0</v>
      </c>
      <c r="Q1230" s="2" t="n">
        <v>2</v>
      </c>
      <c r="R1230" s="2" t="n">
        <v>37</v>
      </c>
      <c r="S1230" s="2" t="n"/>
      <c r="T1230" s="2">
        <f>IF(OR(S1230="",R1230=0),"",ROUND(S1230*R1230,2))</f>
        <v/>
      </c>
      <c r="U1230" s="2" t="inlineStr"/>
    </row>
    <row r="1231">
      <c r="A1231" s="2" t="inlineStr">
        <is>
          <t>R</t>
        </is>
      </c>
      <c r="B1231" s="2" t="inlineStr">
        <is>
          <t>VIDEO INTERCOM SYSTEM</t>
        </is>
      </c>
      <c r="C1231" s="2" t="inlineStr">
        <is>
          <t>G</t>
        </is>
      </c>
      <c r="D1231" s="2" t="inlineStr">
        <is>
          <t>Intercom indoor unit, provision-containment only</t>
        </is>
      </c>
      <c r="E1231" s="2" t="inlineStr">
        <is>
          <t>No</t>
        </is>
      </c>
      <c r="F1231" s="2" t="n">
        <v>8</v>
      </c>
      <c r="G1231" s="2" t="n">
        <v>8</v>
      </c>
      <c r="H1231" s="2" t="n">
        <v>12</v>
      </c>
      <c r="I1231" s="2" t="n">
        <v>12</v>
      </c>
      <c r="J1231" s="2" t="n">
        <v>16</v>
      </c>
      <c r="K1231" s="2" t="n">
        <v>16</v>
      </c>
      <c r="L1231" s="2" t="n">
        <v>0</v>
      </c>
      <c r="M1231" s="2" t="n">
        <v>0</v>
      </c>
      <c r="N1231" s="2" t="n">
        <v>0</v>
      </c>
      <c r="O1231" s="2" t="n">
        <v>0</v>
      </c>
      <c r="P1231" s="2" t="n">
        <v>0</v>
      </c>
      <c r="Q1231" s="2" t="n">
        <v>72</v>
      </c>
      <c r="R1231" s="2" t="n">
        <v>1020</v>
      </c>
      <c r="S1231" s="2" t="n"/>
      <c r="T1231" s="2">
        <f>IF(OR(S1231="",R1231=0),"",ROUND(S1231*R1231,2))</f>
        <v/>
      </c>
      <c r="U1231" s="2" t="inlineStr"/>
    </row>
    <row r="1232">
      <c r="A1232" s="2" t="inlineStr">
        <is>
          <t>R</t>
        </is>
      </c>
      <c r="B1232" s="2" t="inlineStr">
        <is>
          <t>VIDEO INTERCOM SYSTEM</t>
        </is>
      </c>
      <c r="C1232" s="2" t="inlineStr">
        <is>
          <t>H</t>
        </is>
      </c>
      <c r="D1232" s="2" t="inlineStr">
        <is>
          <t>Intercom outdoor unit, provision-containment only</t>
        </is>
      </c>
      <c r="E1232" s="2" t="inlineStr">
        <is>
          <t>No</t>
        </is>
      </c>
      <c r="F1232" s="2" t="n">
        <v>4</v>
      </c>
      <c r="G1232" s="2" t="n">
        <v>4</v>
      </c>
      <c r="H1232" s="2" t="n">
        <v>6</v>
      </c>
      <c r="I1232" s="2" t="n">
        <v>6</v>
      </c>
      <c r="J1232" s="2" t="n">
        <v>8</v>
      </c>
      <c r="K1232" s="2" t="n">
        <v>8</v>
      </c>
      <c r="L1232" s="2" t="n">
        <v>0</v>
      </c>
      <c r="M1232" s="2" t="n">
        <v>0</v>
      </c>
      <c r="N1232" s="2" t="n">
        <v>0</v>
      </c>
      <c r="O1232" s="2" t="n">
        <v>0</v>
      </c>
      <c r="P1232" s="2" t="n">
        <v>0</v>
      </c>
      <c r="Q1232" s="2" t="n">
        <v>36</v>
      </c>
      <c r="R1232" s="2" t="n">
        <v>510</v>
      </c>
      <c r="S1232" s="2" t="n"/>
      <c r="T1232" s="2">
        <f>IF(OR(S1232="",R1232=0),"",ROUND(S1232*R1232,2))</f>
        <v/>
      </c>
      <c r="U1232" s="2" t="inlineStr"/>
    </row>
  </sheetData>
  <autoFilter ref="A1:U12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52" customWidth="1" min="4" max="4"/>
    <col width="7" customWidth="1" min="5" max="5"/>
    <col width="26" customWidth="1" min="6" max="6"/>
    <col width="10" customWidth="1" min="7" max="7"/>
    <col width="52" customWidth="1" min="8" max="8"/>
    <col width="12" customWidth="1" min="9" max="9"/>
    <col width="10" customWidth="1" min="10" max="10"/>
    <col width="13" customWidth="1" min="11" max="11"/>
    <col width="10" customWidth="1" min="12" max="12"/>
    <col width="9" customWidth="1" min="13" max="13"/>
  </cols>
  <sheetData>
    <row r="1">
      <c r="A1" s="1" t="inlineStr">
        <is>
          <t>Section</t>
        </is>
      </c>
      <c r="B1" s="1" t="inlineStr">
        <is>
          <t>Group</t>
        </is>
      </c>
      <c r="C1" s="1" t="inlineStr">
        <is>
          <t>Code</t>
        </is>
      </c>
      <c r="D1" s="1" t="inlineStr">
        <is>
          <t>BOQ Description</t>
        </is>
      </c>
      <c r="E1" s="1" t="inlineStr">
        <is>
          <t>Unit</t>
        </is>
      </c>
      <c r="F1" s="1" t="inlineStr">
        <is>
          <t>Vendor</t>
        </is>
      </c>
      <c r="G1" s="1" t="inlineStr">
        <is>
          <t>Vendor Item</t>
        </is>
      </c>
      <c r="H1" s="1" t="inlineStr">
        <is>
          <t>Vendor Item Description</t>
        </is>
      </c>
      <c r="I1" s="1" t="inlineStr">
        <is>
          <t>Framework Rate (AED)</t>
        </is>
      </c>
      <c r="J1" s="1" t="inlineStr">
        <is>
          <t>Cluster Qty (×plots)</t>
        </is>
      </c>
      <c r="K1" s="1" t="inlineStr">
        <is>
          <t>Amount (AED)</t>
        </is>
      </c>
      <c r="L1" s="1" t="inlineStr">
        <is>
          <t>Confidence</t>
        </is>
      </c>
      <c r="M1" s="1" t="inlineStr">
        <is>
          <t>TA1 page</t>
        </is>
      </c>
    </row>
    <row r="2">
      <c r="A2" s="2" t="inlineStr">
        <is>
          <t>J</t>
        </is>
      </c>
      <c r="B2" s="2" t="inlineStr">
        <is>
          <t>FINISHINGS</t>
        </is>
      </c>
      <c r="C2" s="2" t="inlineStr">
        <is>
          <t>A</t>
        </is>
      </c>
      <c r="D2" s="2" t="inlineStr">
        <is>
          <t>Ref. ST-100, Grey Emperador Polished Stone, 20mm thick, To 3BR L1 Corridor</t>
        </is>
      </c>
      <c r="E2" s="2" t="inlineStr">
        <is>
          <t>m²</t>
        </is>
      </c>
      <c r="F2" s="2" t="inlineStr">
        <is>
          <t>Marble – IMADA</t>
        </is>
      </c>
      <c r="G2" s="2" t="inlineStr">
        <is>
          <t>1</t>
        </is>
      </c>
      <c r="H2" s="2" t="inlineStr">
        <is>
          <t>grey emperador marble (geo beige), 20mm, 60cm x 60cm cut-to-size</t>
        </is>
      </c>
      <c r="I2" s="2" t="n">
        <v>275</v>
      </c>
      <c r="J2" s="2" t="n">
        <v>1848</v>
      </c>
      <c r="K2" s="2">
        <f>ROUND(I2*J2,2)</f>
        <v/>
      </c>
      <c r="L2" s="2" t="inlineStr">
        <is>
          <t>MED</t>
        </is>
      </c>
      <c r="M2" s="2" t="inlineStr">
        <is>
          <t>17</t>
        </is>
      </c>
    </row>
    <row r="3">
      <c r="A3" s="2" t="inlineStr">
        <is>
          <t>J</t>
        </is>
      </c>
      <c r="B3" s="2" t="inlineStr">
        <is>
          <t>FINISHINGS</t>
        </is>
      </c>
      <c r="C3" s="2" t="inlineStr">
        <is>
          <t>A</t>
        </is>
      </c>
      <c r="D3" s="2" t="inlineStr">
        <is>
          <t>Ref. ST-101, Grey Emperador Polished Stone, 15mm thick, 100mm high, To 3BR Corridor</t>
        </is>
      </c>
      <c r="E3" s="2" t="inlineStr">
        <is>
          <t>m</t>
        </is>
      </c>
      <c r="F3" s="2" t="inlineStr">
        <is>
          <t>Marble – IMADA</t>
        </is>
      </c>
      <c r="G3" s="2" t="inlineStr">
        <is>
          <t>1</t>
        </is>
      </c>
      <c r="H3" s="2" t="inlineStr">
        <is>
          <t>grey emperador marble (geo beige), 20mm, 60cm x 60cm cut-to-size</t>
        </is>
      </c>
      <c r="I3" s="2" t="n">
        <v>275</v>
      </c>
      <c r="J3" s="2" t="n">
        <v>2119</v>
      </c>
      <c r="K3" s="2">
        <f>ROUND(I3*J3,2)</f>
        <v/>
      </c>
      <c r="L3" s="2" t="inlineStr">
        <is>
          <t>MED+UNIT?</t>
        </is>
      </c>
      <c r="M3" s="2" t="inlineStr">
        <is>
          <t>17</t>
        </is>
      </c>
    </row>
    <row r="4">
      <c r="A4" s="2" t="inlineStr">
        <is>
          <t>J</t>
        </is>
      </c>
      <c r="B4" s="2" t="inlineStr">
        <is>
          <t>FINISHINGS</t>
        </is>
      </c>
      <c r="C4" s="2" t="inlineStr">
        <is>
          <t>B</t>
        </is>
      </c>
      <c r="D4" s="2" t="inlineStr">
        <is>
          <t>Ref. ST-100, Grey Emperador Polished Stone, 20mm thick, To Stair Landing</t>
        </is>
      </c>
      <c r="E4" s="2" t="inlineStr">
        <is>
          <t>m²</t>
        </is>
      </c>
      <c r="F4" s="2" t="inlineStr">
        <is>
          <t>Marble – IMADA</t>
        </is>
      </c>
      <c r="G4" s="2" t="inlineStr">
        <is>
          <t>1</t>
        </is>
      </c>
      <c r="H4" s="2" t="inlineStr">
        <is>
          <t>grey emperador marble (geo beige), 20mm, 60cm x 60cm cut-to-size</t>
        </is>
      </c>
      <c r="I4" s="2" t="n">
        <v>275</v>
      </c>
      <c r="J4" s="2" t="n">
        <v>1459</v>
      </c>
      <c r="K4" s="2">
        <f>ROUND(I4*J4,2)</f>
        <v/>
      </c>
      <c r="L4" s="2" t="inlineStr">
        <is>
          <t>MED</t>
        </is>
      </c>
      <c r="M4" s="2" t="inlineStr">
        <is>
          <t>17</t>
        </is>
      </c>
    </row>
    <row r="5">
      <c r="A5" s="2" t="inlineStr">
        <is>
          <t>J</t>
        </is>
      </c>
      <c r="B5" s="2" t="inlineStr">
        <is>
          <t>FINISHINGS</t>
        </is>
      </c>
      <c r="C5" s="2" t="inlineStr">
        <is>
          <t>B</t>
        </is>
      </c>
      <c r="D5" s="2" t="inlineStr">
        <is>
          <t>Ref. ST-101, Grey Emperador Polished Stone, 15mm thick, ht. varies, To Staircase</t>
        </is>
      </c>
      <c r="E5" s="2" t="inlineStr">
        <is>
          <t>m</t>
        </is>
      </c>
      <c r="F5" s="2" t="inlineStr">
        <is>
          <t>Marble – IMADA</t>
        </is>
      </c>
      <c r="G5" s="2" t="inlineStr">
        <is>
          <t>1</t>
        </is>
      </c>
      <c r="H5" s="2" t="inlineStr">
        <is>
          <t>grey emperador marble (geo beige), 20mm, 60cm x 60cm cut-to-size</t>
        </is>
      </c>
      <c r="I5" s="2" t="n">
        <v>275</v>
      </c>
      <c r="J5" s="2" t="n">
        <v>7437</v>
      </c>
      <c r="K5" s="2">
        <f>ROUND(I5*J5,2)</f>
        <v/>
      </c>
      <c r="L5" s="2" t="inlineStr">
        <is>
          <t>MED+UNIT?</t>
        </is>
      </c>
      <c r="M5" s="2" t="inlineStr">
        <is>
          <t>17</t>
        </is>
      </c>
    </row>
    <row r="6">
      <c r="A6" s="2" t="inlineStr">
        <is>
          <t>J</t>
        </is>
      </c>
      <c r="B6" s="2" t="inlineStr">
        <is>
          <t>FINISHINGS</t>
        </is>
      </c>
      <c r="C6" s="2" t="inlineStr">
        <is>
          <t>B</t>
        </is>
      </c>
      <c r="D6" s="2" t="inlineStr">
        <is>
          <t>Ref. ST-105, Grey Emperador Polished Stone, 20mm thick, To Bathroom threshold stone continuation on wall holding shower glass, 100mm wide</t>
        </is>
      </c>
      <c r="E6" s="2" t="inlineStr">
        <is>
          <t>m</t>
        </is>
      </c>
      <c r="F6" s="2" t="inlineStr">
        <is>
          <t>Marble – IMADA</t>
        </is>
      </c>
      <c r="G6" s="2" t="inlineStr">
        <is>
          <t>1</t>
        </is>
      </c>
      <c r="H6" s="2" t="inlineStr">
        <is>
          <t>grey emperador marble (geo beige), 20mm, 60cm x 60cm cut-to-size</t>
        </is>
      </c>
      <c r="I6" s="2" t="n">
        <v>275</v>
      </c>
      <c r="J6" s="2" t="n">
        <v>1630</v>
      </c>
      <c r="K6" s="2">
        <f>ROUND(I6*J6,2)</f>
        <v/>
      </c>
      <c r="L6" s="2" t="inlineStr">
        <is>
          <t>MED+UNIT?</t>
        </is>
      </c>
      <c r="M6" s="2" t="inlineStr">
        <is>
          <t>17</t>
        </is>
      </c>
    </row>
    <row r="7">
      <c r="A7" s="2" t="inlineStr">
        <is>
          <t>J</t>
        </is>
      </c>
      <c r="B7" s="2" t="inlineStr">
        <is>
          <t>FINISHINGS</t>
        </is>
      </c>
      <c r="C7" s="2" t="inlineStr">
        <is>
          <t>C</t>
        </is>
      </c>
      <c r="D7" s="2" t="inlineStr">
        <is>
          <t>Ref. ST-100, Grey Emperador Polished Stone, 20mm thick, To Stair Thread, 280mm wide</t>
        </is>
      </c>
      <c r="E7" s="2" t="inlineStr">
        <is>
          <t>m</t>
        </is>
      </c>
      <c r="F7" s="2" t="inlineStr">
        <is>
          <t>Marble – IMADA</t>
        </is>
      </c>
      <c r="G7" s="2" t="inlineStr">
        <is>
          <t>1</t>
        </is>
      </c>
      <c r="H7" s="2" t="inlineStr">
        <is>
          <t>grey emperador marble (geo beige), 20mm, 60cm x 60cm cut-to-size</t>
        </is>
      </c>
      <c r="I7" s="2" t="n">
        <v>275</v>
      </c>
      <c r="J7" s="2" t="n">
        <v>9435</v>
      </c>
      <c r="K7" s="2">
        <f>ROUND(I7*J7,2)</f>
        <v/>
      </c>
      <c r="L7" s="2" t="inlineStr">
        <is>
          <t>MED+UNIT?</t>
        </is>
      </c>
      <c r="M7" s="2" t="inlineStr">
        <is>
          <t>17</t>
        </is>
      </c>
    </row>
    <row r="8">
      <c r="A8" s="2" t="inlineStr">
        <is>
          <t>J</t>
        </is>
      </c>
      <c r="B8" s="2" t="inlineStr">
        <is>
          <t>FINISHINGS</t>
        </is>
      </c>
      <c r="C8" s="2" t="inlineStr">
        <is>
          <t>C</t>
        </is>
      </c>
      <c r="D8" s="2" t="inlineStr">
        <is>
          <t>Ref. ST-105, Grey Emperador Polished Stone, 20mm thick, To Bathroom threshold stone continuation on wall holding shower glass, 140mm wide</t>
        </is>
      </c>
      <c r="E8" s="2" t="inlineStr">
        <is>
          <t>m</t>
        </is>
      </c>
      <c r="F8" s="2" t="inlineStr">
        <is>
          <t>Marble – IMADA</t>
        </is>
      </c>
      <c r="G8" s="2" t="inlineStr">
        <is>
          <t>1</t>
        </is>
      </c>
      <c r="H8" s="2" t="inlineStr">
        <is>
          <t>grey emperador marble (geo beige), 20mm, 60cm x 60cm cut-to-size</t>
        </is>
      </c>
      <c r="I8" s="2" t="n">
        <v>275</v>
      </c>
      <c r="J8" s="2" t="n">
        <v>1840</v>
      </c>
      <c r="K8" s="2">
        <f>ROUND(I8*J8,2)</f>
        <v/>
      </c>
      <c r="L8" s="2" t="inlineStr">
        <is>
          <t>MED+UNIT?</t>
        </is>
      </c>
      <c r="M8" s="2" t="inlineStr">
        <is>
          <t>17</t>
        </is>
      </c>
    </row>
    <row r="9">
      <c r="A9" s="2" t="inlineStr">
        <is>
          <t>J</t>
        </is>
      </c>
      <c r="B9" s="2" t="inlineStr">
        <is>
          <t>FINISHINGS</t>
        </is>
      </c>
      <c r="C9" s="2" t="inlineStr">
        <is>
          <t>C</t>
        </is>
      </c>
      <c r="D9" s="2" t="inlineStr">
        <is>
          <t>Ref. ST-105, Grey Emperador Polished Stone, 20mm thick, To Bathroom threshold stone continuation on wall holding shower glass, 150mm wide</t>
        </is>
      </c>
      <c r="E9" s="2" t="inlineStr">
        <is>
          <t>m</t>
        </is>
      </c>
      <c r="F9" s="2" t="inlineStr">
        <is>
          <t>Marble – IMADA</t>
        </is>
      </c>
      <c r="G9" s="2" t="inlineStr">
        <is>
          <t>1</t>
        </is>
      </c>
      <c r="H9" s="2" t="inlineStr">
        <is>
          <t>grey emperador marble (geo beige), 20mm, 60cm x 60cm cut-to-size</t>
        </is>
      </c>
      <c r="I9" s="2" t="n">
        <v>275</v>
      </c>
      <c r="J9" s="2" t="n">
        <v>2550</v>
      </c>
      <c r="K9" s="2">
        <f>ROUND(I9*J9,2)</f>
        <v/>
      </c>
      <c r="L9" s="2" t="inlineStr">
        <is>
          <t>MED+UNIT?</t>
        </is>
      </c>
      <c r="M9" s="2" t="inlineStr">
        <is>
          <t>17</t>
        </is>
      </c>
    </row>
    <row r="10">
      <c r="A10" s="2" t="inlineStr">
        <is>
          <t>J</t>
        </is>
      </c>
      <c r="B10" s="2" t="inlineStr">
        <is>
          <t>FINISHINGS</t>
        </is>
      </c>
      <c r="C10" s="2" t="inlineStr">
        <is>
          <t>D</t>
        </is>
      </c>
      <c r="D10" s="2" t="inlineStr">
        <is>
          <t>Ref. ST-101, Grey Emperador Polished Stone, 15mm thick, To Stair Riser, 175mm high</t>
        </is>
      </c>
      <c r="E10" s="2" t="inlineStr">
        <is>
          <t>m</t>
        </is>
      </c>
      <c r="F10" s="2" t="inlineStr">
        <is>
          <t>Marble – IMADA</t>
        </is>
      </c>
      <c r="G10" s="2" t="inlineStr">
        <is>
          <t>1</t>
        </is>
      </c>
      <c r="H10" s="2" t="inlineStr">
        <is>
          <t>grey emperador marble (geo beige), 20mm, 60cm x 60cm cut-to-size</t>
        </is>
      </c>
      <c r="I10" s="2" t="n">
        <v>275</v>
      </c>
      <c r="J10" s="2" t="n">
        <v>11404</v>
      </c>
      <c r="K10" s="2">
        <f>ROUND(I10*J10,2)</f>
        <v/>
      </c>
      <c r="L10" s="2" t="inlineStr">
        <is>
          <t>MED+UNIT?</t>
        </is>
      </c>
      <c r="M10" s="2" t="inlineStr">
        <is>
          <t>17</t>
        </is>
      </c>
    </row>
    <row r="11">
      <c r="A11" s="2" t="inlineStr">
        <is>
          <t>J</t>
        </is>
      </c>
      <c r="B11" s="2" t="inlineStr">
        <is>
          <t>FINISHINGS</t>
        </is>
      </c>
      <c r="C11" s="2" t="inlineStr">
        <is>
          <t>G</t>
        </is>
      </c>
      <c r="D11" s="2" t="inlineStr">
        <is>
          <t>Ref. ST-103, Marble skirting, 100mm high, to Community Hall</t>
        </is>
      </c>
      <c r="E11" s="2" t="inlineStr">
        <is>
          <t>m</t>
        </is>
      </c>
      <c r="F11" s="2" t="inlineStr">
        <is>
          <t>Marble – IMADA</t>
        </is>
      </c>
      <c r="G11" s="2" t="inlineStr">
        <is>
          <t>1</t>
        </is>
      </c>
      <c r="H11" s="2" t="inlineStr">
        <is>
          <t>grey emperador marble (geo beige), 20mm, 60cm x 60cm cut-to-size</t>
        </is>
      </c>
      <c r="I11" s="2" t="n">
        <v>275</v>
      </c>
      <c r="J11" s="2" t="n">
        <v>19</v>
      </c>
      <c r="K11" s="2">
        <f>ROUND(I11*J11,2)</f>
        <v/>
      </c>
      <c r="L11" s="2" t="inlineStr">
        <is>
          <t>MED+UNIT?</t>
        </is>
      </c>
      <c r="M11" s="2" t="inlineStr">
        <is>
          <t>17</t>
        </is>
      </c>
    </row>
    <row r="12">
      <c r="A12" s="2" t="inlineStr">
        <is>
          <t>J</t>
        </is>
      </c>
      <c r="B12" s="2" t="inlineStr">
        <is>
          <t>FINISHINGS</t>
        </is>
      </c>
      <c r="C12" s="2" t="inlineStr">
        <is>
          <t>J</t>
        </is>
      </c>
      <c r="D12" s="2" t="inlineStr">
        <is>
          <t>Ref. ST-102, Natural Marble, to Community Hall</t>
        </is>
      </c>
      <c r="E12" s="2" t="inlineStr">
        <is>
          <t>m²</t>
        </is>
      </c>
      <c r="F12" s="2" t="inlineStr">
        <is>
          <t>Marble – IMADA</t>
        </is>
      </c>
      <c r="G12" s="2" t="inlineStr">
        <is>
          <t>1</t>
        </is>
      </c>
      <c r="H12" s="2" t="inlineStr">
        <is>
          <t>grey emperador marble (geo beige), 20mm, 60cm x 60cm cut-to-size</t>
        </is>
      </c>
      <c r="I12" s="2" t="n">
        <v>275</v>
      </c>
      <c r="J12" s="2" t="n">
        <v>120</v>
      </c>
      <c r="K12" s="2">
        <f>ROUND(I12*J12,2)</f>
        <v/>
      </c>
      <c r="L12" s="2" t="inlineStr">
        <is>
          <t>MED</t>
        </is>
      </c>
      <c r="M12" s="2" t="inlineStr">
        <is>
          <t>17</t>
        </is>
      </c>
    </row>
    <row r="13">
      <c r="A13" s="2" t="inlineStr">
        <is>
          <t>K</t>
        </is>
      </c>
      <c r="B13" s="2" t="inlineStr">
        <is>
          <t>TOILET ACCESSORIES</t>
        </is>
      </c>
      <c r="C13" s="2" t="inlineStr">
        <is>
          <t>A</t>
        </is>
      </c>
      <c r="D13" s="2" t="inlineStr">
        <is>
          <t>SW-301, Toilet Roll Holder with Shelf</t>
        </is>
      </c>
      <c r="E13" s="2" t="inlineStr">
        <is>
          <t>No</t>
        </is>
      </c>
      <c r="F13" s="2" t="inlineStr">
        <is>
          <t>Sanitaryware – Al Futtaim/Reisenberg</t>
        </is>
      </c>
      <c r="G13" s="2" t="inlineStr">
        <is>
          <t>S-16</t>
        </is>
      </c>
      <c r="H13" s="2" t="inlineStr">
        <is>
          <t>toilet roll holder</t>
        </is>
      </c>
      <c r="I13" s="2" t="n">
        <v>80</v>
      </c>
      <c r="J13" s="2" t="n">
        <v>2483</v>
      </c>
      <c r="K13" s="2">
        <f>ROUND(I13*J13,2)</f>
        <v/>
      </c>
      <c r="L13" s="2" t="inlineStr">
        <is>
          <t>HIGH</t>
        </is>
      </c>
      <c r="M13" s="2" t="inlineStr">
        <is>
          <t>20</t>
        </is>
      </c>
    </row>
    <row r="14">
      <c r="A14" s="2" t="inlineStr">
        <is>
          <t>K</t>
        </is>
      </c>
      <c r="B14" s="2" t="inlineStr">
        <is>
          <t>TOILET ACCESSORIES</t>
        </is>
      </c>
      <c r="C14" s="2" t="inlineStr">
        <is>
          <t>B</t>
        </is>
      </c>
      <c r="D14" s="2" t="inlineStr">
        <is>
          <t>SW-302, Rectangle Towel Ring</t>
        </is>
      </c>
      <c r="E14" s="2" t="inlineStr">
        <is>
          <t>No</t>
        </is>
      </c>
      <c r="F14" s="2" t="inlineStr">
        <is>
          <t>Sanitaryware – Al Futtaim/Reisenberg</t>
        </is>
      </c>
      <c r="G14" s="2" t="inlineStr">
        <is>
          <t>S-19</t>
        </is>
      </c>
      <c r="H14" s="2" t="inlineStr">
        <is>
          <t>towel ring</t>
        </is>
      </c>
      <c r="I14" s="2" t="n">
        <v>60</v>
      </c>
      <c r="J14" s="2" t="n">
        <v>1936</v>
      </c>
      <c r="K14" s="2">
        <f>ROUND(I14*J14,2)</f>
        <v/>
      </c>
      <c r="L14" s="2" t="inlineStr">
        <is>
          <t>HIGH</t>
        </is>
      </c>
      <c r="M14" s="2" t="inlineStr">
        <is>
          <t>20</t>
        </is>
      </c>
    </row>
    <row r="15">
      <c r="A15" s="2" t="inlineStr">
        <is>
          <t>K</t>
        </is>
      </c>
      <c r="B15" s="2" t="inlineStr">
        <is>
          <t>TOILET ACCESSORIES</t>
        </is>
      </c>
      <c r="C15" s="2" t="inlineStr">
        <is>
          <t>C</t>
        </is>
      </c>
      <c r="D15" s="2" t="inlineStr">
        <is>
          <t>SW-303, Towel Rail</t>
        </is>
      </c>
      <c r="E15" s="2" t="inlineStr">
        <is>
          <t>No</t>
        </is>
      </c>
      <c r="F15" s="2" t="inlineStr">
        <is>
          <t>Sanitaryware – Al Futtaim/Reisenberg</t>
        </is>
      </c>
      <c r="G15" s="2" t="inlineStr">
        <is>
          <t>S-17</t>
        </is>
      </c>
      <c r="H15" s="2" t="inlineStr">
        <is>
          <t>towel rail 40 cm</t>
        </is>
      </c>
      <c r="I15" s="2" t="n">
        <v>44</v>
      </c>
      <c r="J15" s="2" t="n">
        <v>6908</v>
      </c>
      <c r="K15" s="2">
        <f>ROUND(I15*J15,2)</f>
        <v/>
      </c>
      <c r="L15" s="2" t="inlineStr">
        <is>
          <t>LOW+UNIT?</t>
        </is>
      </c>
      <c r="M15" s="2" t="inlineStr">
        <is>
          <t>20</t>
        </is>
      </c>
    </row>
    <row r="16">
      <c r="A16" s="2" t="inlineStr">
        <is>
          <t>K</t>
        </is>
      </c>
      <c r="B16" s="2" t="inlineStr">
        <is>
          <t>TOILET ACCESSORIES</t>
        </is>
      </c>
      <c r="C16" s="2" t="inlineStr">
        <is>
          <t>D</t>
        </is>
      </c>
      <c r="D16" s="2" t="inlineStr">
        <is>
          <t>SW-304, Double Robe Hook</t>
        </is>
      </c>
      <c r="E16" s="2" t="inlineStr">
        <is>
          <t>No</t>
        </is>
      </c>
      <c r="F16" s="2" t="inlineStr">
        <is>
          <t>Sanitaryware – Al Futtaim/Reisenberg</t>
        </is>
      </c>
      <c r="G16" s="2" t="inlineStr">
        <is>
          <t>S-20</t>
        </is>
      </c>
      <c r="H16" s="2" t="inlineStr">
        <is>
          <t>robe hook</t>
        </is>
      </c>
      <c r="I16" s="2" t="n">
        <v>57</v>
      </c>
      <c r="J16" s="2" t="n">
        <v>1936</v>
      </c>
      <c r="K16" s="2">
        <f>ROUND(I16*J16,2)</f>
        <v/>
      </c>
      <c r="L16" s="2" t="inlineStr">
        <is>
          <t>HIGH</t>
        </is>
      </c>
      <c r="M16" s="2" t="inlineStr">
        <is>
          <t>20</t>
        </is>
      </c>
    </row>
    <row r="17">
      <c r="A17" s="2" t="inlineStr">
        <is>
          <t>K</t>
        </is>
      </c>
      <c r="B17" s="2" t="inlineStr">
        <is>
          <t>TOILET ACCESSORIES</t>
        </is>
      </c>
      <c r="C17" s="2" t="inlineStr">
        <is>
          <t>E</t>
        </is>
      </c>
      <c r="D17" s="2" t="inlineStr">
        <is>
          <t>Ref. SW-05, Toilet roll holder</t>
        </is>
      </c>
      <c r="E17" s="2" t="inlineStr">
        <is>
          <t>No</t>
        </is>
      </c>
      <c r="F17" s="2" t="inlineStr">
        <is>
          <t>Sanitaryware – Al Futtaim/Reisenberg</t>
        </is>
      </c>
      <c r="G17" s="2" t="inlineStr">
        <is>
          <t>S-16</t>
        </is>
      </c>
      <c r="H17" s="2" t="inlineStr">
        <is>
          <t>toilet roll holder</t>
        </is>
      </c>
      <c r="I17" s="2" t="n">
        <v>80</v>
      </c>
      <c r="J17" s="2" t="n">
        <v>1</v>
      </c>
      <c r="K17" s="2">
        <f>ROUND(I17*J17,2)</f>
        <v/>
      </c>
      <c r="L17" s="2" t="inlineStr">
        <is>
          <t>HIGH</t>
        </is>
      </c>
      <c r="M17" s="2" t="inlineStr">
        <is>
          <t>20</t>
        </is>
      </c>
    </row>
    <row r="18">
      <c r="A18" s="2" t="inlineStr">
        <is>
          <t>K</t>
        </is>
      </c>
      <c r="B18" s="2" t="inlineStr">
        <is>
          <t>TOILET ACCESSORIES</t>
        </is>
      </c>
      <c r="C18" s="2" t="inlineStr">
        <is>
          <t>G</t>
        </is>
      </c>
      <c r="D18" s="2" t="inlineStr">
        <is>
          <t>Ref. SW-07, Robe hook</t>
        </is>
      </c>
      <c r="E18" s="2" t="inlineStr">
        <is>
          <t>No</t>
        </is>
      </c>
      <c r="F18" s="2" t="inlineStr">
        <is>
          <t>Sanitaryware – Al Futtaim/Reisenberg</t>
        </is>
      </c>
      <c r="G18" s="2" t="inlineStr">
        <is>
          <t>S-20</t>
        </is>
      </c>
      <c r="H18" s="2" t="inlineStr">
        <is>
          <t>robe hook</t>
        </is>
      </c>
      <c r="I18" s="2" t="n">
        <v>57</v>
      </c>
      <c r="J18" s="2" t="n">
        <v>1</v>
      </c>
      <c r="K18" s="2">
        <f>ROUND(I18*J18,2)</f>
        <v/>
      </c>
      <c r="L18" s="2" t="inlineStr">
        <is>
          <t>HIGH</t>
        </is>
      </c>
      <c r="M18" s="2" t="inlineStr">
        <is>
          <t>20</t>
        </is>
      </c>
    </row>
    <row r="19">
      <c r="A19" s="2" t="inlineStr">
        <is>
          <t>K</t>
        </is>
      </c>
      <c r="B19" s="2" t="inlineStr">
        <is>
          <t>TOILET ACCESSORIES</t>
        </is>
      </c>
      <c r="C19" s="2" t="inlineStr">
        <is>
          <t>L</t>
        </is>
      </c>
      <c r="D19" s="2" t="inlineStr">
        <is>
          <t>Ref. SW-105, Toilet Roll Holder</t>
        </is>
      </c>
      <c r="E19" s="2" t="inlineStr">
        <is>
          <t>No</t>
        </is>
      </c>
      <c r="F19" s="2" t="inlineStr">
        <is>
          <t>Sanitaryware – Al Futtaim/Reisenberg</t>
        </is>
      </c>
      <c r="G19" s="2" t="inlineStr">
        <is>
          <t>S-16</t>
        </is>
      </c>
      <c r="H19" s="2" t="inlineStr">
        <is>
          <t>toilet roll holder</t>
        </is>
      </c>
      <c r="I19" s="2" t="n">
        <v>80</v>
      </c>
      <c r="J19" s="2" t="n">
        <v>1</v>
      </c>
      <c r="K19" s="2">
        <f>ROUND(I19*J19,2)</f>
        <v/>
      </c>
      <c r="L19" s="2" t="inlineStr">
        <is>
          <t>HIGH</t>
        </is>
      </c>
      <c r="M19" s="2" t="inlineStr">
        <is>
          <t>20</t>
        </is>
      </c>
    </row>
    <row r="20">
      <c r="A20" s="2" t="inlineStr">
        <is>
          <t>K</t>
        </is>
      </c>
      <c r="B20" s="2" t="inlineStr">
        <is>
          <t>TOILET ACCESSORIES</t>
        </is>
      </c>
      <c r="C20" s="2" t="inlineStr">
        <is>
          <t>Q</t>
        </is>
      </c>
      <c r="D20" s="2" t="inlineStr">
        <is>
          <t>Ref. SW-109, Robe Hook</t>
        </is>
      </c>
      <c r="E20" s="2" t="inlineStr">
        <is>
          <t>No</t>
        </is>
      </c>
      <c r="F20" s="2" t="inlineStr">
        <is>
          <t>Sanitaryware – Al Futtaim/Reisenberg</t>
        </is>
      </c>
      <c r="G20" s="2" t="inlineStr">
        <is>
          <t>S-20</t>
        </is>
      </c>
      <c r="H20" s="2" t="inlineStr">
        <is>
          <t>robe hook</t>
        </is>
      </c>
      <c r="I20" s="2" t="n">
        <v>57</v>
      </c>
      <c r="J20" s="2" t="n">
        <v>1</v>
      </c>
      <c r="K20" s="2">
        <f>ROUND(I20*J20,2)</f>
        <v/>
      </c>
      <c r="L20" s="2" t="inlineStr">
        <is>
          <t>HIGH</t>
        </is>
      </c>
      <c r="M20" s="2" t="inlineStr">
        <is>
          <t>20</t>
        </is>
      </c>
    </row>
    <row r="21">
      <c r="A21" s="2" t="inlineStr">
        <is>
          <t>K</t>
        </is>
      </c>
      <c r="B21" s="2" t="inlineStr">
        <is>
          <t>TOILET ACCESSORIES</t>
        </is>
      </c>
      <c r="C21" s="2" t="inlineStr">
        <is>
          <t>T</t>
        </is>
      </c>
      <c r="D21" s="2" t="inlineStr">
        <is>
          <t>Ref. SW-302, robe hook</t>
        </is>
      </c>
      <c r="E21" s="2" t="inlineStr">
        <is>
          <t>No</t>
        </is>
      </c>
      <c r="F21" s="2" t="inlineStr">
        <is>
          <t>Sanitaryware – Al Futtaim/Reisenberg</t>
        </is>
      </c>
      <c r="G21" s="2" t="inlineStr">
        <is>
          <t>S-20</t>
        </is>
      </c>
      <c r="H21" s="2" t="inlineStr">
        <is>
          <t>robe hook</t>
        </is>
      </c>
      <c r="I21" s="2" t="n">
        <v>57</v>
      </c>
      <c r="J21" s="2" t="n">
        <v>6</v>
      </c>
      <c r="K21" s="2">
        <f>ROUND(I21*J21,2)</f>
        <v/>
      </c>
      <c r="L21" s="2" t="inlineStr">
        <is>
          <t>HIGH</t>
        </is>
      </c>
      <c r="M21" s="2" t="inlineStr">
        <is>
          <t>20</t>
        </is>
      </c>
    </row>
    <row r="22">
      <c r="A22" s="2" t="inlineStr">
        <is>
          <t>M</t>
        </is>
      </c>
      <c r="B22" s="2" t="inlineStr">
        <is>
          <t>COLLECTION</t>
        </is>
      </c>
      <c r="C22" s="2" t="inlineStr">
        <is>
          <t>X</t>
        </is>
      </c>
      <c r="D22" s="2" t="inlineStr">
        <is>
          <t>Ref. Set-2.6, Magnetic Door Stopper</t>
        </is>
      </c>
      <c r="E22" s="2" t="inlineStr">
        <is>
          <t>No</t>
        </is>
      </c>
      <c r="F22" s="2" t="inlineStr">
        <is>
          <t>Ironmongery – Consort/Euroart</t>
        </is>
      </c>
      <c r="G22" s="2" t="inlineStr">
        <is>
          <t>B.19</t>
        </is>
      </c>
      <c r="H22" s="2" t="inlineStr">
        <is>
          <t>pedestal door stop, ss 316</t>
        </is>
      </c>
      <c r="I22" s="2" t="n">
        <v>13.5</v>
      </c>
      <c r="J22" s="2" t="n">
        <v>1</v>
      </c>
      <c r="K22" s="2">
        <f>ROUND(I22*J22,2)</f>
        <v/>
      </c>
      <c r="L22" s="2" t="inlineStr">
        <is>
          <t>LOW+UNIT?</t>
        </is>
      </c>
      <c r="M22" s="2" t="inlineStr">
        <is>
          <t>9</t>
        </is>
      </c>
    </row>
    <row r="23">
      <c r="A23" s="2" t="inlineStr">
        <is>
          <t>R</t>
        </is>
      </c>
      <c r="B23" s="2" t="inlineStr">
        <is>
          <t>OAS-1C&amp;2C-NC-GE-GN-ELE-EP-1104/2104/3104</t>
        </is>
      </c>
      <c r="C23" s="2" t="inlineStr">
        <is>
          <t>P</t>
        </is>
      </c>
      <c r="D23" s="2" t="inlineStr">
        <is>
          <t>20A SPN Isolators</t>
        </is>
      </c>
      <c r="E23" s="2" t="inlineStr">
        <is>
          <t>No</t>
        </is>
      </c>
      <c r="F23" s="2" t="inlineStr">
        <is>
          <t>Isolators – SCAME</t>
        </is>
      </c>
      <c r="G23" s="2" t="inlineStr">
        <is>
          <t>11</t>
        </is>
      </c>
      <c r="H23" s="2" t="inlineStr">
        <is>
          <t>die cast alluminium isolators – 20a tpn</t>
        </is>
      </c>
      <c r="I23" s="2" t="n">
        <v>55.44</v>
      </c>
      <c r="J23" s="2" t="n">
        <v>1732</v>
      </c>
      <c r="K23" s="2">
        <f>ROUND(I23*J23,2)</f>
        <v/>
      </c>
      <c r="L23" s="2" t="inlineStr">
        <is>
          <t>HIGH</t>
        </is>
      </c>
      <c r="M23" s="2" t="inlineStr">
        <is>
          <t>115</t>
        </is>
      </c>
    </row>
    <row r="24">
      <c r="A24" s="2" t="inlineStr">
        <is>
          <t>R</t>
        </is>
      </c>
      <c r="B24" s="2" t="inlineStr">
        <is>
          <t>OAS-1C&amp;2C-NC-GE-GN-ELE-EP-1104/2104/3104</t>
        </is>
      </c>
      <c r="C24" s="2" t="inlineStr">
        <is>
          <t>Q</t>
        </is>
      </c>
      <c r="D24" s="2" t="inlineStr">
        <is>
          <t>32A SPN Isolators</t>
        </is>
      </c>
      <c r="E24" s="2" t="inlineStr">
        <is>
          <t>No</t>
        </is>
      </c>
      <c r="F24" s="2" t="inlineStr">
        <is>
          <t>Isolators – SCAME</t>
        </is>
      </c>
      <c r="G24" s="2" t="inlineStr">
        <is>
          <t>12</t>
        </is>
      </c>
      <c r="H24" s="2" t="inlineStr">
        <is>
          <t>die cast alluminium isolators – 32a tpn</t>
        </is>
      </c>
      <c r="I24" s="2" t="n">
        <v>60.72</v>
      </c>
      <c r="J24" s="2" t="n">
        <v>1611</v>
      </c>
      <c r="K24" s="2">
        <f>ROUND(I24*J24,2)</f>
        <v/>
      </c>
      <c r="L24" s="2" t="inlineStr">
        <is>
          <t>HIGH</t>
        </is>
      </c>
      <c r="M24" s="2" t="inlineStr">
        <is>
          <t>115</t>
        </is>
      </c>
    </row>
    <row r="25">
      <c r="A25" s="2" t="inlineStr">
        <is>
          <t>R</t>
        </is>
      </c>
      <c r="B25" s="2" t="inlineStr">
        <is>
          <t>OAS-1C&amp;2C-NC-GE-GN-ELE-EP-1104/2104/3104</t>
        </is>
      </c>
      <c r="C25" s="2" t="inlineStr">
        <is>
          <t>R</t>
        </is>
      </c>
      <c r="D25" s="2" t="inlineStr">
        <is>
          <t>40A SPN Isolators</t>
        </is>
      </c>
      <c r="E25" s="2" t="inlineStr">
        <is>
          <t>No</t>
        </is>
      </c>
      <c r="F25" s="2" t="inlineStr">
        <is>
          <t>Isolators – SCAME</t>
        </is>
      </c>
      <c r="G25" s="2" t="inlineStr">
        <is>
          <t>10</t>
        </is>
      </c>
      <c r="H25" s="2" t="inlineStr">
        <is>
          <t>die cast alluminium isolators – 40a 2 pole</t>
        </is>
      </c>
      <c r="I25" s="2" t="n">
        <v>105.6</v>
      </c>
      <c r="J25" s="2" t="n">
        <v>991</v>
      </c>
      <c r="K25" s="2">
        <f>ROUND(I25*J25,2)</f>
        <v/>
      </c>
      <c r="L25" s="2" t="inlineStr">
        <is>
          <t>HIGH</t>
        </is>
      </c>
      <c r="M25" s="2" t="inlineStr">
        <is>
          <t>115</t>
        </is>
      </c>
    </row>
    <row r="26">
      <c r="A26" s="2" t="inlineStr">
        <is>
          <t>R</t>
        </is>
      </c>
      <c r="B26" s="2" t="inlineStr">
        <is>
          <t>OAS-1C&amp;2C-NC-GE-GN-ELE-EP-1104/2104/3104</t>
        </is>
      </c>
      <c r="C26" s="2" t="inlineStr">
        <is>
          <t>S</t>
        </is>
      </c>
      <c r="D26" s="2" t="inlineStr">
        <is>
          <t>20A TPN Isolators</t>
        </is>
      </c>
      <c r="E26" s="2" t="inlineStr">
        <is>
          <t>No</t>
        </is>
      </c>
      <c r="F26" s="2" t="inlineStr">
        <is>
          <t>Isolators – SCAME</t>
        </is>
      </c>
      <c r="G26" s="2" t="inlineStr">
        <is>
          <t>11</t>
        </is>
      </c>
      <c r="H26" s="2" t="inlineStr">
        <is>
          <t>die cast alluminium isolators – 20a tpn</t>
        </is>
      </c>
      <c r="I26" s="2" t="n">
        <v>55.44</v>
      </c>
      <c r="J26" s="2" t="n">
        <v>111</v>
      </c>
      <c r="K26" s="2">
        <f>ROUND(I26*J26,2)</f>
        <v/>
      </c>
      <c r="L26" s="2" t="inlineStr">
        <is>
          <t>HIGH</t>
        </is>
      </c>
      <c r="M26" s="2" t="inlineStr">
        <is>
          <t>115</t>
        </is>
      </c>
    </row>
    <row r="27">
      <c r="A27" s="2" t="inlineStr">
        <is>
          <t>R</t>
        </is>
      </c>
      <c r="B27" s="2" t="inlineStr">
        <is>
          <t>OAS-1C&amp;2C-NC-GE-GN-ELE-EP-1104/2104/3104</t>
        </is>
      </c>
      <c r="C27" s="2" t="inlineStr">
        <is>
          <t>T</t>
        </is>
      </c>
      <c r="D27" s="2" t="inlineStr">
        <is>
          <t>32A TPN Isolators</t>
        </is>
      </c>
      <c r="E27" s="2" t="inlineStr">
        <is>
          <t>No</t>
        </is>
      </c>
      <c r="F27" s="2" t="inlineStr">
        <is>
          <t>Isolators – SCAME</t>
        </is>
      </c>
      <c r="G27" s="2" t="inlineStr">
        <is>
          <t>12</t>
        </is>
      </c>
      <c r="H27" s="2" t="inlineStr">
        <is>
          <t>die cast alluminium isolators – 32a tpn</t>
        </is>
      </c>
      <c r="I27" s="2" t="n">
        <v>60.72</v>
      </c>
      <c r="J27" s="2" t="n">
        <v>2</v>
      </c>
      <c r="K27" s="2">
        <f>ROUND(I27*J27,2)</f>
        <v/>
      </c>
      <c r="L27" s="2" t="inlineStr">
        <is>
          <t>HIGH</t>
        </is>
      </c>
      <c r="M27" s="2" t="inlineStr">
        <is>
          <t>115</t>
        </is>
      </c>
    </row>
    <row r="28">
      <c r="A28" s="2" t="inlineStr">
        <is>
          <t>R</t>
        </is>
      </c>
      <c r="B28" s="2" t="inlineStr">
        <is>
          <t>OAS-1C&amp;2C-NC-GE-GN-ELE-EP-1104/2104/3104</t>
        </is>
      </c>
      <c r="C28" s="2" t="inlineStr">
        <is>
          <t>U</t>
        </is>
      </c>
      <c r="D28" s="2" t="inlineStr">
        <is>
          <t>40A TPN Isolators</t>
        </is>
      </c>
      <c r="E28" s="2" t="inlineStr">
        <is>
          <t>No</t>
        </is>
      </c>
      <c r="F28" s="2" t="inlineStr">
        <is>
          <t>Isolators – SCAME</t>
        </is>
      </c>
      <c r="G28" s="2" t="inlineStr">
        <is>
          <t>10</t>
        </is>
      </c>
      <c r="H28" s="2" t="inlineStr">
        <is>
          <t>die cast alluminium isolators – 40a 2 pole</t>
        </is>
      </c>
      <c r="I28" s="2" t="n">
        <v>105.6</v>
      </c>
      <c r="J28" s="2" t="n">
        <v>6</v>
      </c>
      <c r="K28" s="2">
        <f>ROUND(I28*J28,2)</f>
        <v/>
      </c>
      <c r="L28" s="2" t="inlineStr">
        <is>
          <t>HIGH</t>
        </is>
      </c>
      <c r="M28" s="2" t="inlineStr">
        <is>
          <t>115</t>
        </is>
      </c>
    </row>
    <row r="29">
      <c r="A29" s="2" t="inlineStr">
        <is>
          <t>R</t>
        </is>
      </c>
      <c r="B29" s="2" t="inlineStr">
        <is>
          <t>OAS-1C&amp;2C-NC-GE-GN-ELE-EP-1104/2104/3104</t>
        </is>
      </c>
      <c r="C29" s="2" t="inlineStr">
        <is>
          <t>V</t>
        </is>
      </c>
      <c r="D29" s="2" t="inlineStr">
        <is>
          <t>63A TPN Isolators</t>
        </is>
      </c>
      <c r="E29" s="2" t="inlineStr">
        <is>
          <t>No</t>
        </is>
      </c>
      <c r="F29" s="2" t="inlineStr">
        <is>
          <t>Isolators – SCAME</t>
        </is>
      </c>
      <c r="G29" s="2" t="inlineStr">
        <is>
          <t>14</t>
        </is>
      </c>
      <c r="H29" s="2" t="inlineStr">
        <is>
          <t>die cast alluminium isolators – 63a tpn</t>
        </is>
      </c>
      <c r="I29" s="2" t="n">
        <v>200.64</v>
      </c>
      <c r="J29" s="2" t="n">
        <v>1</v>
      </c>
      <c r="K29" s="2">
        <f>ROUND(I29*J29,2)</f>
        <v/>
      </c>
      <c r="L29" s="2" t="inlineStr">
        <is>
          <t>HIGH</t>
        </is>
      </c>
      <c r="M29" s="2" t="inlineStr">
        <is>
          <t>115</t>
        </is>
      </c>
    </row>
    <row r="30">
      <c r="A30" s="2" t="inlineStr">
        <is>
          <t>R</t>
        </is>
      </c>
      <c r="B30" s="2" t="inlineStr">
        <is>
          <t>OAS-1C&amp;2C-NC-GE-GN-ELE-EP-1104/2104/3104</t>
        </is>
      </c>
      <c r="C30" s="2" t="inlineStr">
        <is>
          <t>W</t>
        </is>
      </c>
      <c r="D30" s="2" t="inlineStr">
        <is>
          <t>200A TPN Isolators</t>
        </is>
      </c>
      <c r="E30" s="2" t="inlineStr">
        <is>
          <t>No</t>
        </is>
      </c>
      <c r="F30" s="2" t="inlineStr">
        <is>
          <t>Isolators – SCAME</t>
        </is>
      </c>
      <c r="G30" s="2" t="inlineStr">
        <is>
          <t>19</t>
        </is>
      </c>
      <c r="H30" s="2" t="inlineStr">
        <is>
          <t>die cast alluminium isolators – 200a tpn with enclosure</t>
        </is>
      </c>
      <c r="I30" s="2" t="n">
        <v>1405.94</v>
      </c>
      <c r="J30" s="2" t="n">
        <v>1</v>
      </c>
      <c r="K30" s="2">
        <f>ROUND(I30*J30,2)</f>
        <v/>
      </c>
      <c r="L30" s="2" t="inlineStr">
        <is>
          <t>HIGH</t>
        </is>
      </c>
      <c r="M30" s="2" t="inlineStr">
        <is>
          <t>115</t>
        </is>
      </c>
    </row>
    <row r="31">
      <c r="A31" s="2" t="inlineStr">
        <is>
          <t>R</t>
        </is>
      </c>
      <c r="B31" s="2" t="inlineStr">
        <is>
          <t>OAS-1C&amp;2C-NC-GE-GN-ELE-EP-1104/2104/3104</t>
        </is>
      </c>
      <c r="C31" s="2" t="inlineStr">
        <is>
          <t>A</t>
        </is>
      </c>
      <c r="D31" s="2" t="inlineStr">
        <is>
          <t>Addressable compact &amp; decorative edge exit light, maintained, recessed mounted type with glass finish legend laser printer IP20</t>
        </is>
      </c>
      <c r="E31" s="2" t="inlineStr">
        <is>
          <t>No</t>
        </is>
      </c>
      <c r="F31" s="2" t="inlineStr">
        <is>
          <t>Light Fittings – LEME/P&amp;S</t>
        </is>
      </c>
      <c r="G31" s="2" t="inlineStr">
        <is>
          <t>BBH-4 F1</t>
        </is>
      </c>
      <c r="H31" s="2" t="inlineStr">
        <is>
          <t>boh area - storage room / service rooms</t>
        </is>
      </c>
      <c r="I31" s="2" t="n">
        <v>63.31</v>
      </c>
      <c r="J31" s="2" t="n">
        <v>6</v>
      </c>
      <c r="K31" s="2">
        <f>ROUND(I31*J31,2)</f>
        <v/>
      </c>
      <c r="L31" s="2" t="inlineStr">
        <is>
          <t>LOW</t>
        </is>
      </c>
      <c r="M31" s="2" t="inlineStr">
        <is>
          <t>139</t>
        </is>
      </c>
    </row>
    <row r="32">
      <c r="A32" s="2" t="inlineStr">
        <is>
          <t>R</t>
        </is>
      </c>
      <c r="B32" s="2" t="inlineStr">
        <is>
          <t>OAS-1C&amp;2C-NC-GE-GN-ELE-EP-1104/2104/3104</t>
        </is>
      </c>
      <c r="C32" s="2" t="inlineStr">
        <is>
          <t>B</t>
        </is>
      </c>
      <c r="D32" s="2" t="inlineStr">
        <is>
          <t>Addressable emergency light, non-maintained, compact type, circular in shape, recess mounted IP55</t>
        </is>
      </c>
      <c r="E32" s="2" t="inlineStr">
        <is>
          <t>No</t>
        </is>
      </c>
      <c r="F32" s="2" t="inlineStr">
        <is>
          <t>Light Fittings – LEME/P&amp;S</t>
        </is>
      </c>
      <c r="G32" s="2" t="inlineStr">
        <is>
          <t>BBH-4 F1</t>
        </is>
      </c>
      <c r="H32" s="2" t="inlineStr">
        <is>
          <t>boh area - storage room / service rooms</t>
        </is>
      </c>
      <c r="I32" s="2" t="n">
        <v>63.31</v>
      </c>
      <c r="J32" s="2" t="n">
        <v>7</v>
      </c>
      <c r="K32" s="2">
        <f>ROUND(I32*J32,2)</f>
        <v/>
      </c>
      <c r="L32" s="2" t="inlineStr">
        <is>
          <t>LOW</t>
        </is>
      </c>
      <c r="M32" s="2" t="inlineStr">
        <is>
          <t>139</t>
        </is>
      </c>
    </row>
    <row r="33">
      <c r="A33" s="2" t="inlineStr">
        <is>
          <t>R</t>
        </is>
      </c>
      <c r="B33" s="2" t="inlineStr">
        <is>
          <t>OAS-1C&amp;2C-NC-GE-GN-ELE-EP-1104/2104/3104</t>
        </is>
      </c>
      <c r="C33" s="2" t="inlineStr">
        <is>
          <t>C</t>
        </is>
      </c>
      <c r="D33" s="2" t="inlineStr">
        <is>
          <t>Addressable emergency light, non-maintained, compact type, square or circular in shape, surface or semi-recess mounted IP55</t>
        </is>
      </c>
      <c r="E33" s="2" t="inlineStr">
        <is>
          <t>No</t>
        </is>
      </c>
      <c r="F33" s="2" t="inlineStr">
        <is>
          <t>Light Fittings – LEME/P&amp;S</t>
        </is>
      </c>
      <c r="G33" s="2" t="inlineStr">
        <is>
          <t>BBH-4 F1</t>
        </is>
      </c>
      <c r="H33" s="2" t="inlineStr">
        <is>
          <t>boh area - storage room / service rooms</t>
        </is>
      </c>
      <c r="I33" s="2" t="n">
        <v>63.31</v>
      </c>
      <c r="J33" s="2" t="n">
        <v>12</v>
      </c>
      <c r="K33" s="2">
        <f>ROUND(I33*J33,2)</f>
        <v/>
      </c>
      <c r="L33" s="2" t="inlineStr">
        <is>
          <t>LOW</t>
        </is>
      </c>
      <c r="M33" s="2" t="inlineStr">
        <is>
          <t>139</t>
        </is>
      </c>
    </row>
    <row r="34">
      <c r="A34" s="2" t="inlineStr">
        <is>
          <t>R</t>
        </is>
      </c>
      <c r="B34" s="2" t="inlineStr">
        <is>
          <t>OAS-1C&amp;2C-NC-GE-GN-ELE-EP-1104/2104/3104</t>
        </is>
      </c>
      <c r="C34" s="2" t="inlineStr">
        <is>
          <t>D</t>
        </is>
      </c>
      <c r="D34" s="2" t="inlineStr">
        <is>
          <t>Ref. LT-03, Linear lighting</t>
        </is>
      </c>
      <c r="E34" s="2" t="inlineStr">
        <is>
          <t>m</t>
        </is>
      </c>
      <c r="F34" s="2" t="inlineStr">
        <is>
          <t>Light Fittings – LEME/P&amp;S</t>
        </is>
      </c>
      <c r="G34" s="2" t="inlineStr">
        <is>
          <t>BBH-4 F1</t>
        </is>
      </c>
      <c r="H34" s="2" t="inlineStr">
        <is>
          <t>boh area - storage room / service rooms</t>
        </is>
      </c>
      <c r="I34" s="2" t="n">
        <v>63.31</v>
      </c>
      <c r="J34" s="2" t="n">
        <v>149</v>
      </c>
      <c r="K34" s="2">
        <f>ROUND(I34*J34,2)</f>
        <v/>
      </c>
      <c r="L34" s="2" t="inlineStr">
        <is>
          <t>LOW+UNIT?</t>
        </is>
      </c>
      <c r="M34" s="2" t="inlineStr">
        <is>
          <t>139</t>
        </is>
      </c>
    </row>
    <row r="35">
      <c r="A35" s="2" t="inlineStr">
        <is>
          <t>R</t>
        </is>
      </c>
      <c r="B35" s="2" t="inlineStr">
        <is>
          <t>OAS-1C&amp;2C-NC-GE-GN-ELE-EP-1104/2104/3104</t>
        </is>
      </c>
      <c r="C35" s="2" t="inlineStr">
        <is>
          <t>E</t>
        </is>
      </c>
      <c r="D35" s="2" t="inlineStr">
        <is>
          <t>Ref. LTA2.1, Linear lighting</t>
        </is>
      </c>
      <c r="E35" s="2" t="inlineStr">
        <is>
          <t>m</t>
        </is>
      </c>
      <c r="F35" s="2" t="inlineStr">
        <is>
          <t>Light Fittings – LEME/P&amp;S</t>
        </is>
      </c>
      <c r="G35" s="2" t="inlineStr">
        <is>
          <t>BBH-4 F1</t>
        </is>
      </c>
      <c r="H35" s="2" t="inlineStr">
        <is>
          <t>boh area - storage room / service rooms</t>
        </is>
      </c>
      <c r="I35" s="2" t="n">
        <v>63.31</v>
      </c>
      <c r="J35" s="2" t="n">
        <v>29418</v>
      </c>
      <c r="K35" s="2">
        <f>ROUND(I35*J35,2)</f>
        <v/>
      </c>
      <c r="L35" s="2" t="inlineStr">
        <is>
          <t>LOW+UNIT?</t>
        </is>
      </c>
      <c r="M35" s="2" t="inlineStr">
        <is>
          <t>139</t>
        </is>
      </c>
    </row>
    <row r="36">
      <c r="A36" s="2" t="inlineStr">
        <is>
          <t>R</t>
        </is>
      </c>
      <c r="B36" s="2" t="inlineStr">
        <is>
          <t>OAS-1C&amp;2C-NC-GE-GN-ELE-EP-1104/2104/3104</t>
        </is>
      </c>
      <c r="C36" s="2" t="inlineStr">
        <is>
          <t>E</t>
        </is>
      </c>
      <c r="D36" s="2" t="inlineStr">
        <is>
          <t>Ref. LTA2.1, Linear lighting</t>
        </is>
      </c>
      <c r="E36" s="2" t="inlineStr">
        <is>
          <t>m</t>
        </is>
      </c>
      <c r="F36" s="2" t="inlineStr">
        <is>
          <t>Light Fittings – LEME/P&amp;S</t>
        </is>
      </c>
      <c r="G36" s="2" t="inlineStr">
        <is>
          <t>BBH-4 F1</t>
        </is>
      </c>
      <c r="H36" s="2" t="inlineStr">
        <is>
          <t>boh area - storage room / service rooms</t>
        </is>
      </c>
      <c r="I36" s="2" t="n">
        <v>63.31</v>
      </c>
      <c r="J36" s="2" t="n">
        <v>29418</v>
      </c>
      <c r="K36" s="2">
        <f>ROUND(I36*J36,2)</f>
        <v/>
      </c>
      <c r="L36" s="2" t="inlineStr">
        <is>
          <t>LOW+UNIT?</t>
        </is>
      </c>
      <c r="M36" s="2" t="inlineStr">
        <is>
          <t>139</t>
        </is>
      </c>
    </row>
    <row r="37">
      <c r="A37" s="2" t="inlineStr">
        <is>
          <t>R</t>
        </is>
      </c>
      <c r="B37" s="2" t="inlineStr">
        <is>
          <t>OAS-1C&amp;2C-NC-GE-GN-ELE-EP-1104/2104/3104</t>
        </is>
      </c>
      <c r="C37" s="2" t="inlineStr">
        <is>
          <t>E</t>
        </is>
      </c>
      <c r="D37" s="2" t="inlineStr">
        <is>
          <t>Addressable compact &amp; decorative edge exit light, maintained, recessed mounted type with glass finish legend laser printer IP20</t>
        </is>
      </c>
      <c r="E37" s="2" t="inlineStr">
        <is>
          <t>No</t>
        </is>
      </c>
      <c r="F37" s="2" t="inlineStr">
        <is>
          <t>Light Fittings – LEME/P&amp;S</t>
        </is>
      </c>
      <c r="G37" s="2" t="inlineStr">
        <is>
          <t>BBH-4 F1</t>
        </is>
      </c>
      <c r="H37" s="2" t="inlineStr">
        <is>
          <t>boh area - storage room / service rooms</t>
        </is>
      </c>
      <c r="I37" s="2" t="n">
        <v>63.31</v>
      </c>
      <c r="J37" s="2" t="n">
        <v>6</v>
      </c>
      <c r="K37" s="2">
        <f>ROUND(I37*J37,2)</f>
        <v/>
      </c>
      <c r="L37" s="2" t="inlineStr">
        <is>
          <t>LOW</t>
        </is>
      </c>
      <c r="M37" s="2" t="inlineStr">
        <is>
          <t>139</t>
        </is>
      </c>
    </row>
    <row r="38">
      <c r="A38" s="2" t="inlineStr">
        <is>
          <t>R</t>
        </is>
      </c>
      <c r="B38" s="2" t="inlineStr">
        <is>
          <t>OAS-1C&amp;2C-NC-GE-GN-ELE-EP-1104/2104/3104</t>
        </is>
      </c>
      <c r="C38" s="2" t="inlineStr">
        <is>
          <t>F</t>
        </is>
      </c>
      <c r="D38" s="2" t="inlineStr">
        <is>
          <t>Ref. LTA2.2, Linear lighting</t>
        </is>
      </c>
      <c r="E38" s="2" t="inlineStr">
        <is>
          <t>m</t>
        </is>
      </c>
      <c r="F38" s="2" t="inlineStr">
        <is>
          <t>Light Fittings – LEME/P&amp;S</t>
        </is>
      </c>
      <c r="G38" s="2" t="inlineStr">
        <is>
          <t>BBH-4 F1</t>
        </is>
      </c>
      <c r="H38" s="2" t="inlineStr">
        <is>
          <t>boh area - storage room / service rooms</t>
        </is>
      </c>
      <c r="I38" s="2" t="n">
        <v>63.31</v>
      </c>
      <c r="J38" s="2" t="n">
        <v>4977</v>
      </c>
      <c r="K38" s="2">
        <f>ROUND(I38*J38,2)</f>
        <v/>
      </c>
      <c r="L38" s="2" t="inlineStr">
        <is>
          <t>LOW+UNIT?</t>
        </is>
      </c>
      <c r="M38" s="2" t="inlineStr">
        <is>
          <t>139</t>
        </is>
      </c>
    </row>
    <row r="39">
      <c r="A39" s="2" t="inlineStr">
        <is>
          <t>R</t>
        </is>
      </c>
      <c r="B39" s="2" t="inlineStr">
        <is>
          <t>OAS-1C&amp;2C-NC-GE-GN-ELE-EP-1104/2104/3104</t>
        </is>
      </c>
      <c r="C39" s="2" t="inlineStr">
        <is>
          <t>F</t>
        </is>
      </c>
      <c r="D39" s="2" t="inlineStr">
        <is>
          <t>Ref. LT-03, Linear lighting</t>
        </is>
      </c>
      <c r="E39" s="2" t="inlineStr">
        <is>
          <t>m</t>
        </is>
      </c>
      <c r="F39" s="2" t="inlineStr">
        <is>
          <t>Light Fittings – LEME/P&amp;S</t>
        </is>
      </c>
      <c r="G39" s="2" t="inlineStr">
        <is>
          <t>BBH-4 F1</t>
        </is>
      </c>
      <c r="H39" s="2" t="inlineStr">
        <is>
          <t>boh area - storage room / service rooms</t>
        </is>
      </c>
      <c r="I39" s="2" t="n">
        <v>63.31</v>
      </c>
      <c r="J39" s="2" t="n">
        <v>149</v>
      </c>
      <c r="K39" s="2">
        <f>ROUND(I39*J39,2)</f>
        <v/>
      </c>
      <c r="L39" s="2" t="inlineStr">
        <is>
          <t>LOW+UNIT?</t>
        </is>
      </c>
      <c r="M39" s="2" t="inlineStr">
        <is>
          <t>139</t>
        </is>
      </c>
    </row>
    <row r="40">
      <c r="A40" s="2" t="inlineStr">
        <is>
          <t>R</t>
        </is>
      </c>
      <c r="B40" s="2" t="inlineStr">
        <is>
          <t>OAS-1C&amp;2C-NC-GE-GN-ELE-EP-1104/2104/3104</t>
        </is>
      </c>
      <c r="C40" s="2" t="inlineStr">
        <is>
          <t>F</t>
        </is>
      </c>
      <c r="D40" s="2" t="inlineStr">
        <is>
          <t>Ref. LTA2.2, Linear lighting</t>
        </is>
      </c>
      <c r="E40" s="2" t="inlineStr">
        <is>
          <t>m</t>
        </is>
      </c>
      <c r="F40" s="2" t="inlineStr">
        <is>
          <t>Light Fittings – LEME/P&amp;S</t>
        </is>
      </c>
      <c r="G40" s="2" t="inlineStr">
        <is>
          <t>BBH-4 F1</t>
        </is>
      </c>
      <c r="H40" s="2" t="inlineStr">
        <is>
          <t>boh area - storage room / service rooms</t>
        </is>
      </c>
      <c r="I40" s="2" t="n">
        <v>63.31</v>
      </c>
      <c r="J40" s="2" t="n">
        <v>4977</v>
      </c>
      <c r="K40" s="2">
        <f>ROUND(I40*J40,2)</f>
        <v/>
      </c>
      <c r="L40" s="2" t="inlineStr">
        <is>
          <t>LOW+UNIT?</t>
        </is>
      </c>
      <c r="M40" s="2" t="inlineStr">
        <is>
          <t>139</t>
        </is>
      </c>
    </row>
    <row r="41">
      <c r="A41" s="2" t="inlineStr">
        <is>
          <t>R</t>
        </is>
      </c>
      <c r="B41" s="2" t="inlineStr">
        <is>
          <t>OAS-1C&amp;2C-NC-GE-GN-ELE-EP-1104/2104/3104</t>
        </is>
      </c>
      <c r="C41" s="2" t="inlineStr">
        <is>
          <t>F</t>
        </is>
      </c>
      <c r="D41" s="2" t="inlineStr">
        <is>
          <t>Addressable emergency light, non-maintained, compact type, circular in shape, recess mounted IP55</t>
        </is>
      </c>
      <c r="E41" s="2" t="inlineStr">
        <is>
          <t>No</t>
        </is>
      </c>
      <c r="F41" s="2" t="inlineStr">
        <is>
          <t>Light Fittings – LEME/P&amp;S</t>
        </is>
      </c>
      <c r="G41" s="2" t="inlineStr">
        <is>
          <t>BBH-4 F1</t>
        </is>
      </c>
      <c r="H41" s="2" t="inlineStr">
        <is>
          <t>boh area - storage room / service rooms</t>
        </is>
      </c>
      <c r="I41" s="2" t="n">
        <v>63.31</v>
      </c>
      <c r="J41" s="2" t="n">
        <v>7</v>
      </c>
      <c r="K41" s="2">
        <f>ROUND(I41*J41,2)</f>
        <v/>
      </c>
      <c r="L41" s="2" t="inlineStr">
        <is>
          <t>LOW</t>
        </is>
      </c>
      <c r="M41" s="2" t="inlineStr">
        <is>
          <t>139</t>
        </is>
      </c>
    </row>
    <row r="42">
      <c r="A42" s="2" t="inlineStr">
        <is>
          <t>R</t>
        </is>
      </c>
      <c r="B42" s="2" t="inlineStr">
        <is>
          <t>OAS-1C&amp;2C-NC-GE-GN-ELE-EP-1104/2104/3104</t>
        </is>
      </c>
      <c r="C42" s="2" t="inlineStr">
        <is>
          <t>G</t>
        </is>
      </c>
      <c r="D42" s="2" t="inlineStr">
        <is>
          <t>Addressable emergency light, non-maintained, compact type, square or circular in shape, surface or semi-recess mounted IP55</t>
        </is>
      </c>
      <c r="E42" s="2" t="inlineStr">
        <is>
          <t>No</t>
        </is>
      </c>
      <c r="F42" s="2" t="inlineStr">
        <is>
          <t>Light Fittings – LEME/P&amp;S</t>
        </is>
      </c>
      <c r="G42" s="2" t="inlineStr">
        <is>
          <t>BBH-4 F1</t>
        </is>
      </c>
      <c r="H42" s="2" t="inlineStr">
        <is>
          <t>boh area - storage room / service rooms</t>
        </is>
      </c>
      <c r="I42" s="2" t="n">
        <v>63.31</v>
      </c>
      <c r="J42" s="2" t="n">
        <v>12</v>
      </c>
      <c r="K42" s="2">
        <f>ROUND(I42*J42,2)</f>
        <v/>
      </c>
      <c r="L42" s="2" t="inlineStr">
        <is>
          <t>LOW</t>
        </is>
      </c>
      <c r="M42" s="2" t="inlineStr">
        <is>
          <t>139</t>
        </is>
      </c>
    </row>
    <row r="43">
      <c r="A43" s="2" t="inlineStr">
        <is>
          <t>R</t>
        </is>
      </c>
      <c r="B43" s="2" t="inlineStr">
        <is>
          <t>AUDIO-VISUAL SYSTEM</t>
        </is>
      </c>
      <c r="C43" s="2" t="inlineStr">
        <is>
          <t>G</t>
        </is>
      </c>
      <c r="D43" s="2" t="inlineStr">
        <is>
          <t>Professional soundbar with inbuilt subwoofer, WIFI connectivity, airplay, bluetooth, spottify, UNP &amp; optical cable connectivity</t>
        </is>
      </c>
      <c r="E43" s="2" t="inlineStr">
        <is>
          <t>No</t>
        </is>
      </c>
      <c r="F43" s="2" t="inlineStr">
        <is>
          <t>Light Fittings – LEME/P&amp;S</t>
        </is>
      </c>
      <c r="G43" s="2" t="inlineStr">
        <is>
          <t>BBH-4 F1</t>
        </is>
      </c>
      <c r="H43" s="2" t="inlineStr">
        <is>
          <t>boh area - storage room / service rooms</t>
        </is>
      </c>
      <c r="I43" s="2" t="n">
        <v>63.31</v>
      </c>
      <c r="J43" s="2" t="n">
        <v>1</v>
      </c>
      <c r="K43" s="2">
        <f>ROUND(I43*J43,2)</f>
        <v/>
      </c>
      <c r="L43" s="2" t="inlineStr">
        <is>
          <t>LOW</t>
        </is>
      </c>
      <c r="M43" s="2" t="inlineStr">
        <is>
          <t>139</t>
        </is>
      </c>
    </row>
    <row r="44">
      <c r="A44" s="2" t="inlineStr">
        <is>
          <t>R</t>
        </is>
      </c>
      <c r="B44" s="2" t="inlineStr">
        <is>
          <t>AUDIO-VISUAL SYSTEM</t>
        </is>
      </c>
      <c r="C44" s="2" t="inlineStr">
        <is>
          <t>H</t>
        </is>
      </c>
      <c r="D44" s="2" t="inlineStr">
        <is>
          <t>Professional soundbar with inbuilt subwoofer, WIFI connectivity, airplay, bluetooth, spottify, UNP &amp; optical cable connectivity</t>
        </is>
      </c>
      <c r="E44" s="2" t="inlineStr">
        <is>
          <t>No</t>
        </is>
      </c>
      <c r="F44" s="2" t="inlineStr">
        <is>
          <t>Light Fittings – LEME/P&amp;S</t>
        </is>
      </c>
      <c r="G44" s="2" t="inlineStr">
        <is>
          <t>BBH-4 F1</t>
        </is>
      </c>
      <c r="H44" s="2" t="inlineStr">
        <is>
          <t>boh area - storage room / service rooms</t>
        </is>
      </c>
      <c r="I44" s="2" t="n">
        <v>63.31</v>
      </c>
      <c r="J44" s="2" t="n">
        <v>1</v>
      </c>
      <c r="K44" s="2">
        <f>ROUND(I44*J44,2)</f>
        <v/>
      </c>
      <c r="L44" s="2" t="inlineStr">
        <is>
          <t>LOW</t>
        </is>
      </c>
      <c r="M44" s="2" t="inlineStr">
        <is>
          <t>139</t>
        </is>
      </c>
    </row>
    <row r="45">
      <c r="A45" s="2" t="inlineStr">
        <is>
          <t>J</t>
        </is>
      </c>
      <c r="B45" s="2" t="inlineStr">
        <is>
          <t>FINISHINGS</t>
        </is>
      </c>
      <c r="C45" s="2" t="inlineStr">
        <is>
          <t>A</t>
        </is>
      </c>
      <c r="D45" s="2" t="inlineStr">
        <is>
          <t>Ref. ST-104, Et Calacatta Gold Reconstituted Stone, 12mm thick - Kitchen &amp; Bathroom Backsplash</t>
        </is>
      </c>
      <c r="E45" s="2" t="inlineStr">
        <is>
          <t>m²</t>
        </is>
      </c>
      <c r="F45" s="2" t="inlineStr">
        <is>
          <t>Reconstituted Stone – Granitech</t>
        </is>
      </c>
      <c r="G45" s="2" t="inlineStr">
        <is>
          <t>1</t>
        </is>
      </c>
      <c r="H45" s="2" t="inlineStr">
        <is>
          <t>20mm reconstituted quartz countertop; marva norde, griff grey, grtc-q-47, polished, 1600x3200mm</t>
        </is>
      </c>
      <c r="I45" s="2" t="n">
        <v>303</v>
      </c>
      <c r="J45" s="2" t="n">
        <v>2190</v>
      </c>
      <c r="K45" s="2">
        <f>ROUND(I45*J45,2)</f>
        <v/>
      </c>
      <c r="L45" s="2" t="inlineStr">
        <is>
          <t>MED</t>
        </is>
      </c>
      <c r="M45" s="2" t="inlineStr">
        <is>
          <t>37</t>
        </is>
      </c>
    </row>
    <row r="46">
      <c r="A46" s="2" t="inlineStr">
        <is>
          <t>J</t>
        </is>
      </c>
      <c r="B46" s="2" t="inlineStr">
        <is>
          <t>FINISHINGS</t>
        </is>
      </c>
      <c r="C46" s="2" t="inlineStr">
        <is>
          <t>C</t>
        </is>
      </c>
      <c r="D46" s="2" t="inlineStr">
        <is>
          <t>Ref. ST-104, Royal Crema Recon Stone, 15mm thick, 100mm high</t>
        </is>
      </c>
      <c r="E46" s="2" t="inlineStr">
        <is>
          <t>m</t>
        </is>
      </c>
      <c r="F46" s="2" t="inlineStr">
        <is>
          <t>Reconstituted Stone – Granitech</t>
        </is>
      </c>
      <c r="G46" s="2" t="inlineStr">
        <is>
          <t>1</t>
        </is>
      </c>
      <c r="H46" s="2" t="inlineStr">
        <is>
          <t>20mm reconstituted quartz countertop; marva norde, griff grey, grtc-q-47, polished, 1600x3200mm</t>
        </is>
      </c>
      <c r="I46" s="2" t="n">
        <v>303</v>
      </c>
      <c r="J46" s="2" t="n">
        <v>703</v>
      </c>
      <c r="K46" s="2">
        <f>ROUND(I46*J46,2)</f>
        <v/>
      </c>
      <c r="L46" s="2" t="inlineStr">
        <is>
          <t>MED+UNIT?</t>
        </is>
      </c>
      <c r="M46" s="2" t="inlineStr">
        <is>
          <t>37</t>
        </is>
      </c>
    </row>
    <row r="47">
      <c r="A47" s="2" t="inlineStr">
        <is>
          <t>J</t>
        </is>
      </c>
      <c r="B47" s="2" t="inlineStr">
        <is>
          <t>FINISHINGS</t>
        </is>
      </c>
      <c r="C47" s="2" t="inlineStr">
        <is>
          <t>D</t>
        </is>
      </c>
      <c r="D47" s="2" t="inlineStr">
        <is>
          <t>Ref. ST-107, Royal Crema Recon Stone, 15mm thick, 100mm high</t>
        </is>
      </c>
      <c r="E47" s="2" t="inlineStr">
        <is>
          <t>m</t>
        </is>
      </c>
      <c r="F47" s="2" t="inlineStr">
        <is>
          <t>Reconstituted Stone – Granitech</t>
        </is>
      </c>
      <c r="G47" s="2" t="inlineStr">
        <is>
          <t>1</t>
        </is>
      </c>
      <c r="H47" s="2" t="inlineStr">
        <is>
          <t>20mm reconstituted quartz countertop; marva norde, griff grey, grtc-q-47, polished, 1600x3200mm</t>
        </is>
      </c>
      <c r="I47" s="2" t="n">
        <v>303</v>
      </c>
      <c r="J47" s="2" t="n">
        <v>4477</v>
      </c>
      <c r="K47" s="2">
        <f>ROUND(I47*J47,2)</f>
        <v/>
      </c>
      <c r="L47" s="2" t="inlineStr">
        <is>
          <t>MED+UNIT?</t>
        </is>
      </c>
      <c r="M47" s="2" t="inlineStr">
        <is>
          <t>37</t>
        </is>
      </c>
    </row>
    <row r="48">
      <c r="A48" s="2" t="inlineStr">
        <is>
          <t>J</t>
        </is>
      </c>
      <c r="B48" s="2" t="inlineStr">
        <is>
          <t>FINISHINGS</t>
        </is>
      </c>
      <c r="C48" s="2" t="inlineStr">
        <is>
          <t>D</t>
        </is>
      </c>
      <c r="D48" s="2" t="inlineStr">
        <is>
          <t>Ref. ST-103, Et Calacatta Gold Reconstituted Stone, 200mm wide - Cistern Cover</t>
        </is>
      </c>
      <c r="E48" s="2" t="inlineStr">
        <is>
          <t>m</t>
        </is>
      </c>
      <c r="F48" s="2" t="inlineStr">
        <is>
          <t>Reconstituted Stone – Granitech</t>
        </is>
      </c>
      <c r="G48" s="2" t="inlineStr">
        <is>
          <t>1</t>
        </is>
      </c>
      <c r="H48" s="2" t="inlineStr">
        <is>
          <t>20mm reconstituted quartz countertop; marva norde, griff grey, grtc-q-47, polished, 1600x3200mm</t>
        </is>
      </c>
      <c r="I48" s="2" t="n">
        <v>303</v>
      </c>
      <c r="J48" s="2" t="n">
        <v>1567</v>
      </c>
      <c r="K48" s="2">
        <f>ROUND(I48*J48,2)</f>
        <v/>
      </c>
      <c r="L48" s="2" t="inlineStr">
        <is>
          <t>MED+UNIT?</t>
        </is>
      </c>
      <c r="M48" s="2" t="inlineStr">
        <is>
          <t>37</t>
        </is>
      </c>
    </row>
    <row r="49">
      <c r="A49" s="2" t="inlineStr">
        <is>
          <t>J</t>
        </is>
      </c>
      <c r="B49" s="2" t="inlineStr">
        <is>
          <t>FINISHINGS</t>
        </is>
      </c>
      <c r="C49" s="2" t="inlineStr">
        <is>
          <t>E</t>
        </is>
      </c>
      <c r="D49" s="2" t="inlineStr">
        <is>
          <t>Ref. ST-103, Et Calacatta Gold Reconstituted Stone, 20mm thick, To Bathtub Top Ledge</t>
        </is>
      </c>
      <c r="E49" s="2" t="inlineStr">
        <is>
          <t>m²</t>
        </is>
      </c>
      <c r="F49" s="2" t="inlineStr">
        <is>
          <t>Reconstituted Stone – Granitech</t>
        </is>
      </c>
      <c r="G49" s="2" t="inlineStr">
        <is>
          <t>1</t>
        </is>
      </c>
      <c r="H49" s="2" t="inlineStr">
        <is>
          <t>20mm reconstituted quartz countertop; marva norde, griff grey, grtc-q-47, polished, 1600x3200mm</t>
        </is>
      </c>
      <c r="I49" s="2" t="n">
        <v>303</v>
      </c>
      <c r="J49" s="2" t="n">
        <v>184</v>
      </c>
      <c r="K49" s="2">
        <f>ROUND(I49*J49,2)</f>
        <v/>
      </c>
      <c r="L49" s="2" t="inlineStr">
        <is>
          <t>MED</t>
        </is>
      </c>
      <c r="M49" s="2" t="inlineStr">
        <is>
          <t>37</t>
        </is>
      </c>
    </row>
    <row r="50">
      <c r="A50" s="2" t="inlineStr">
        <is>
          <t>J</t>
        </is>
      </c>
      <c r="B50" s="2" t="inlineStr">
        <is>
          <t>FINISHINGS</t>
        </is>
      </c>
      <c r="C50" s="2" t="inlineStr">
        <is>
          <t>E</t>
        </is>
      </c>
      <c r="D50" s="2" t="inlineStr">
        <is>
          <t>Ref. ST-107, Royal Crema Recon Stone, 15mm thick, ht. varies, To Staircase</t>
        </is>
      </c>
      <c r="E50" s="2" t="inlineStr">
        <is>
          <t>m</t>
        </is>
      </c>
      <c r="F50" s="2" t="inlineStr">
        <is>
          <t>Reconstituted Stone – Granitech</t>
        </is>
      </c>
      <c r="G50" s="2" t="inlineStr">
        <is>
          <t>1</t>
        </is>
      </c>
      <c r="H50" s="2" t="inlineStr">
        <is>
          <t>20mm reconstituted quartz countertop; marva norde, griff grey, grtc-q-47, polished, 1600x3200mm</t>
        </is>
      </c>
      <c r="I50" s="2" t="n">
        <v>303</v>
      </c>
      <c r="J50" s="2" t="n">
        <v>1998</v>
      </c>
      <c r="K50" s="2">
        <f>ROUND(I50*J50,2)</f>
        <v/>
      </c>
      <c r="L50" s="2" t="inlineStr">
        <is>
          <t>MED+UNIT?</t>
        </is>
      </c>
      <c r="M50" s="2" t="inlineStr">
        <is>
          <t>37</t>
        </is>
      </c>
    </row>
    <row r="51">
      <c r="A51" s="2" t="inlineStr">
        <is>
          <t>J</t>
        </is>
      </c>
      <c r="B51" s="2" t="inlineStr">
        <is>
          <t>FINISHINGS</t>
        </is>
      </c>
      <c r="C51" s="2" t="inlineStr">
        <is>
          <t>E</t>
        </is>
      </c>
      <c r="D51" s="2" t="inlineStr">
        <is>
          <t>Ref. ST-100, Ethereal Glow Reconstituted Stone, 12mm thick - Kitchen &amp; Bathroom Backsplash</t>
        </is>
      </c>
      <c r="E51" s="2" t="inlineStr">
        <is>
          <t>m²</t>
        </is>
      </c>
      <c r="F51" s="2" t="inlineStr">
        <is>
          <t>Reconstituted Stone – Granitech</t>
        </is>
      </c>
      <c r="G51" s="2" t="inlineStr">
        <is>
          <t>1</t>
        </is>
      </c>
      <c r="H51" s="2" t="inlineStr">
        <is>
          <t>20mm reconstituted quartz countertop; marva norde, griff grey, grtc-q-47, polished, 1600x3200mm</t>
        </is>
      </c>
      <c r="I51" s="2" t="n">
        <v>303</v>
      </c>
      <c r="J51" s="2" t="n">
        <v>185</v>
      </c>
      <c r="K51" s="2">
        <f>ROUND(I51*J51,2)</f>
        <v/>
      </c>
      <c r="L51" s="2" t="inlineStr">
        <is>
          <t>MED</t>
        </is>
      </c>
      <c r="M51" s="2" t="inlineStr">
        <is>
          <t>37</t>
        </is>
      </c>
    </row>
    <row r="52">
      <c r="A52" s="2" t="inlineStr">
        <is>
          <t>J</t>
        </is>
      </c>
      <c r="B52" s="2" t="inlineStr">
        <is>
          <t>FINISHINGS</t>
        </is>
      </c>
      <c r="C52" s="2" t="inlineStr">
        <is>
          <t>F</t>
        </is>
      </c>
      <c r="D52" s="2" t="inlineStr">
        <is>
          <t>Ref. ST-101, Ethereal Glow Reconstituted Stone, 20mm thick, To Maids bath upstand, 100mm high</t>
        </is>
      </c>
      <c r="E52" s="2" t="inlineStr">
        <is>
          <t>m</t>
        </is>
      </c>
      <c r="F52" s="2" t="inlineStr">
        <is>
          <t>Reconstituted Stone – Granitech</t>
        </is>
      </c>
      <c r="G52" s="2" t="inlineStr">
        <is>
          <t>1</t>
        </is>
      </c>
      <c r="H52" s="2" t="inlineStr">
        <is>
          <t>20mm reconstituted quartz countertop; marva norde, griff grey, grtc-q-47, polished, 1600x3200mm</t>
        </is>
      </c>
      <c r="I52" s="2" t="n">
        <v>303</v>
      </c>
      <c r="J52" s="2" t="n">
        <v>74</v>
      </c>
      <c r="K52" s="2">
        <f>ROUND(I52*J52,2)</f>
        <v/>
      </c>
      <c r="L52" s="2" t="inlineStr">
        <is>
          <t>MED+UNIT?</t>
        </is>
      </c>
      <c r="M52" s="2" t="inlineStr">
        <is>
          <t>37</t>
        </is>
      </c>
    </row>
    <row r="53">
      <c r="A53" s="2" t="inlineStr">
        <is>
          <t>J</t>
        </is>
      </c>
      <c r="B53" s="2" t="inlineStr">
        <is>
          <t>FINISHINGS</t>
        </is>
      </c>
      <c r="C53" s="2" t="inlineStr">
        <is>
          <t>F</t>
        </is>
      </c>
      <c r="D53" s="2" t="inlineStr">
        <is>
          <t>Ref. ST-101, Ethereal Glow Reconstituted Stone, 200mm wide - Cistern Cover</t>
        </is>
      </c>
      <c r="E53" s="2" t="inlineStr">
        <is>
          <t>m</t>
        </is>
      </c>
      <c r="F53" s="2" t="inlineStr">
        <is>
          <t>Reconstituted Stone – Granitech</t>
        </is>
      </c>
      <c r="G53" s="2" t="inlineStr">
        <is>
          <t>1</t>
        </is>
      </c>
      <c r="H53" s="2" t="inlineStr">
        <is>
          <t>20mm reconstituted quartz countertop; marva norde, griff grey, grtc-q-47, polished, 1600x3200mm</t>
        </is>
      </c>
      <c r="I53" s="2" t="n">
        <v>303</v>
      </c>
      <c r="J53" s="2" t="n">
        <v>222</v>
      </c>
      <c r="K53" s="2">
        <f>ROUND(I53*J53,2)</f>
        <v/>
      </c>
      <c r="L53" s="2" t="inlineStr">
        <is>
          <t>MED+UNIT?</t>
        </is>
      </c>
      <c r="M53" s="2" t="inlineStr">
        <is>
          <t>37</t>
        </is>
      </c>
    </row>
    <row r="54">
      <c r="A54" s="2" t="inlineStr">
        <is>
          <t>J</t>
        </is>
      </c>
      <c r="B54" s="2" t="inlineStr">
        <is>
          <t>FINISHINGS</t>
        </is>
      </c>
      <c r="C54" s="2" t="inlineStr">
        <is>
          <t>G</t>
        </is>
      </c>
      <c r="D54" s="2" t="inlineStr">
        <is>
          <t>Ref. ST-102, Royal Crema Recon Stone, 20mm thick, To Stair Landing</t>
        </is>
      </c>
      <c r="E54" s="2" t="inlineStr">
        <is>
          <t>m²</t>
        </is>
      </c>
      <c r="F54" s="2" t="inlineStr">
        <is>
          <t>Reconstituted Stone – Granitech</t>
        </is>
      </c>
      <c r="G54" s="2" t="inlineStr">
        <is>
          <t>1</t>
        </is>
      </c>
      <c r="H54" s="2" t="inlineStr">
        <is>
          <t>20mm reconstituted quartz countertop; marva norde, griff grey, grtc-q-47, polished, 1600x3200mm</t>
        </is>
      </c>
      <c r="I54" s="2" t="n">
        <v>303</v>
      </c>
      <c r="J54" s="2" t="n">
        <v>407</v>
      </c>
      <c r="K54" s="2">
        <f>ROUND(I54*J54,2)</f>
        <v/>
      </c>
      <c r="L54" s="2" t="inlineStr">
        <is>
          <t>MED</t>
        </is>
      </c>
      <c r="M54" s="2" t="inlineStr">
        <is>
          <t>37</t>
        </is>
      </c>
    </row>
    <row r="55">
      <c r="A55" s="2" t="inlineStr">
        <is>
          <t>J</t>
        </is>
      </c>
      <c r="B55" s="2" t="inlineStr">
        <is>
          <t>FINISHINGS</t>
        </is>
      </c>
      <c r="C55" s="2" t="inlineStr">
        <is>
          <t>G</t>
        </is>
      </c>
      <c r="D55" s="2" t="inlineStr">
        <is>
          <t>Ref. ST-106, Royal Crema Recon Stone, 12mm thick</t>
        </is>
      </c>
      <c r="E55" s="2" t="inlineStr">
        <is>
          <t>m²</t>
        </is>
      </c>
      <c r="F55" s="2" t="inlineStr">
        <is>
          <t>Reconstituted Stone – Granitech</t>
        </is>
      </c>
      <c r="G55" s="2" t="inlineStr">
        <is>
          <t>1</t>
        </is>
      </c>
      <c r="H55" s="2" t="inlineStr">
        <is>
          <t>20mm reconstituted quartz countertop; marva norde, griff grey, grtc-q-47, polished, 1600x3200mm</t>
        </is>
      </c>
      <c r="I55" s="2" t="n">
        <v>303</v>
      </c>
      <c r="J55" s="2" t="n">
        <v>2294</v>
      </c>
      <c r="K55" s="2">
        <f>ROUND(I55*J55,2)</f>
        <v/>
      </c>
      <c r="L55" s="2" t="inlineStr">
        <is>
          <t>MED</t>
        </is>
      </c>
      <c r="M55" s="2" t="inlineStr">
        <is>
          <t>37</t>
        </is>
      </c>
    </row>
    <row r="56">
      <c r="A56" s="2" t="inlineStr">
        <is>
          <t>J</t>
        </is>
      </c>
      <c r="B56" s="2" t="inlineStr">
        <is>
          <t>SUSPENDED CEILINGS</t>
        </is>
      </c>
      <c r="C56" s="2" t="inlineStr">
        <is>
          <t>G</t>
        </is>
      </c>
      <c r="D56" s="2" t="inlineStr">
        <is>
          <t>Ref. ST-103, Et Calacatta Gold Reconstituted Stone, 20mm thick - Kitchen Countertop</t>
        </is>
      </c>
      <c r="E56" s="2" t="inlineStr">
        <is>
          <t>m²</t>
        </is>
      </c>
      <c r="F56" s="2" t="inlineStr">
        <is>
          <t>Reconstituted Stone – Granitech</t>
        </is>
      </c>
      <c r="G56" s="2" t="inlineStr">
        <is>
          <t>1</t>
        </is>
      </c>
      <c r="H56" s="2" t="inlineStr">
        <is>
          <t>20mm reconstituted quartz countertop; marva norde, griff grey, grtc-q-47, polished, 1600x3200mm</t>
        </is>
      </c>
      <c r="I56" s="2" t="n">
        <v>303</v>
      </c>
      <c r="J56" s="2" t="n">
        <v>1914</v>
      </c>
      <c r="K56" s="2">
        <f>ROUND(I56*J56,2)</f>
        <v/>
      </c>
      <c r="L56" s="2" t="inlineStr">
        <is>
          <t>MED</t>
        </is>
      </c>
      <c r="M56" s="2" t="inlineStr">
        <is>
          <t>37</t>
        </is>
      </c>
    </row>
    <row r="57">
      <c r="A57" s="2" t="inlineStr">
        <is>
          <t>J</t>
        </is>
      </c>
      <c r="B57" s="2" t="inlineStr">
        <is>
          <t>FINISHINGS</t>
        </is>
      </c>
      <c r="C57" s="2" t="inlineStr">
        <is>
          <t>H</t>
        </is>
      </c>
      <c r="D57" s="2" t="inlineStr">
        <is>
          <t>Ref. ST-102, Royal Crema Recon Stone, 20mm thick, To Stair Thread, 280mm wide</t>
        </is>
      </c>
      <c r="E57" s="2" t="inlineStr">
        <is>
          <t>m</t>
        </is>
      </c>
      <c r="F57" s="2" t="inlineStr">
        <is>
          <t>Reconstituted Stone – Granitech</t>
        </is>
      </c>
      <c r="G57" s="2" t="inlineStr">
        <is>
          <t>1</t>
        </is>
      </c>
      <c r="H57" s="2" t="inlineStr">
        <is>
          <t>20mm reconstituted quartz countertop; marva norde, griff grey, grtc-q-47, polished, 1600x3200mm</t>
        </is>
      </c>
      <c r="I57" s="2" t="n">
        <v>303</v>
      </c>
      <c r="J57" s="2" t="n">
        <v>2701</v>
      </c>
      <c r="K57" s="2">
        <f>ROUND(I57*J57,2)</f>
        <v/>
      </c>
      <c r="L57" s="2" t="inlineStr">
        <is>
          <t>MED+UNIT?</t>
        </is>
      </c>
      <c r="M57" s="2" t="inlineStr">
        <is>
          <t>37</t>
        </is>
      </c>
    </row>
    <row r="58">
      <c r="A58" s="2" t="inlineStr">
        <is>
          <t>J</t>
        </is>
      </c>
      <c r="B58" s="2" t="inlineStr">
        <is>
          <t>FINISHINGS</t>
        </is>
      </c>
      <c r="C58" s="2" t="inlineStr">
        <is>
          <t>H</t>
        </is>
      </c>
      <c r="D58" s="2" t="inlineStr">
        <is>
          <t>Ref. ST-109, Royal Crema Recon Stone, 20mm thick, To Bathroom threshold stone continuation on wall holding shower glass, 100mm wide</t>
        </is>
      </c>
      <c r="E58" s="2" t="inlineStr">
        <is>
          <t>m</t>
        </is>
      </c>
      <c r="F58" s="2" t="inlineStr">
        <is>
          <t>Reconstituted Stone – Granitech</t>
        </is>
      </c>
      <c r="G58" s="2" t="inlineStr">
        <is>
          <t>1</t>
        </is>
      </c>
      <c r="H58" s="2" t="inlineStr">
        <is>
          <t>20mm reconstituted quartz countertop; marva norde, griff grey, grtc-q-47, polished, 1600x3200mm</t>
        </is>
      </c>
      <c r="I58" s="2" t="n">
        <v>303</v>
      </c>
      <c r="J58" s="2" t="n">
        <v>925</v>
      </c>
      <c r="K58" s="2">
        <f>ROUND(I58*J58,2)</f>
        <v/>
      </c>
      <c r="L58" s="2" t="inlineStr">
        <is>
          <t>MED+UNIT?</t>
        </is>
      </c>
      <c r="M58" s="2" t="inlineStr">
        <is>
          <t>37</t>
        </is>
      </c>
    </row>
    <row r="59">
      <c r="A59" s="2" t="inlineStr">
        <is>
          <t>J</t>
        </is>
      </c>
      <c r="B59" s="2" t="inlineStr">
        <is>
          <t>SUSPENDED CEILINGS</t>
        </is>
      </c>
      <c r="C59" s="2" t="inlineStr">
        <is>
          <t>H</t>
        </is>
      </c>
      <c r="D59" s="2" t="inlineStr">
        <is>
          <t>Ref. ST-101,  Ethereal Glow Reconstituted Stone, 20mm thick - Kitchen Countertop</t>
        </is>
      </c>
      <c r="E59" s="2" t="inlineStr">
        <is>
          <t>m²</t>
        </is>
      </c>
      <c r="F59" s="2" t="inlineStr">
        <is>
          <t>Reconstituted Stone – Granitech</t>
        </is>
      </c>
      <c r="G59" s="2" t="inlineStr">
        <is>
          <t>1</t>
        </is>
      </c>
      <c r="H59" s="2" t="inlineStr">
        <is>
          <t>20mm reconstituted quartz countertop; marva norde, griff grey, grtc-q-47, polished, 1600x3200mm</t>
        </is>
      </c>
      <c r="I59" s="2" t="n">
        <v>303</v>
      </c>
      <c r="J59" s="2" t="n">
        <v>222</v>
      </c>
      <c r="K59" s="2">
        <f>ROUND(I59*J59,2)</f>
        <v/>
      </c>
      <c r="L59" s="2" t="inlineStr">
        <is>
          <t>MED</t>
        </is>
      </c>
      <c r="M59" s="2" t="inlineStr">
        <is>
          <t>37</t>
        </is>
      </c>
    </row>
    <row r="60">
      <c r="A60" s="2" t="inlineStr">
        <is>
          <t>J</t>
        </is>
      </c>
      <c r="B60" s="2" t="inlineStr">
        <is>
          <t>FINISHINGS</t>
        </is>
      </c>
      <c r="C60" s="2" t="inlineStr">
        <is>
          <t>K</t>
        </is>
      </c>
      <c r="D60" s="2" t="inlineStr">
        <is>
          <t>Ref. ST-103, Royal Crema Recon Stone, 20mm thick, To Stair Riser, 175mm high</t>
        </is>
      </c>
      <c r="E60" s="2" t="inlineStr">
        <is>
          <t>m</t>
        </is>
      </c>
      <c r="F60" s="2" t="inlineStr">
        <is>
          <t>Reconstituted Stone – Granitech</t>
        </is>
      </c>
      <c r="G60" s="2" t="inlineStr">
        <is>
          <t>1</t>
        </is>
      </c>
      <c r="H60" s="2" t="inlineStr">
        <is>
          <t>20mm reconstituted quartz countertop; marva norde, griff grey, grtc-q-47, polished, 1600x3200mm</t>
        </is>
      </c>
      <c r="I60" s="2" t="n">
        <v>303</v>
      </c>
      <c r="J60" s="2" t="n">
        <v>3071</v>
      </c>
      <c r="K60" s="2">
        <f>ROUND(I60*J60,2)</f>
        <v/>
      </c>
      <c r="L60" s="2" t="inlineStr">
        <is>
          <t>MED+UNIT?</t>
        </is>
      </c>
      <c r="M60" s="2" t="inlineStr">
        <is>
          <t>37</t>
        </is>
      </c>
    </row>
    <row r="61">
      <c r="A61" s="2" t="inlineStr">
        <is>
          <t>J</t>
        </is>
      </c>
      <c r="B61" s="2" t="inlineStr">
        <is>
          <t>FINISHINGS</t>
        </is>
      </c>
      <c r="C61" s="2" t="inlineStr">
        <is>
          <t>K</t>
        </is>
      </c>
      <c r="D61" s="2" t="inlineStr">
        <is>
          <t>Ref. ST-101, Et Calacatta Gold Reconstituted Stone, 200/210mm wide - Cistern Cover</t>
        </is>
      </c>
      <c r="E61" s="2" t="inlineStr">
        <is>
          <t>m</t>
        </is>
      </c>
      <c r="F61" s="2" t="inlineStr">
        <is>
          <t>Reconstituted Stone – Granitech</t>
        </is>
      </c>
      <c r="G61" s="2" t="inlineStr">
        <is>
          <t>1</t>
        </is>
      </c>
      <c r="H61" s="2" t="inlineStr">
        <is>
          <t>20mm reconstituted quartz countertop; marva norde, griff grey, grtc-q-47, polished, 1600x3200mm</t>
        </is>
      </c>
      <c r="I61" s="2" t="n">
        <v>303</v>
      </c>
      <c r="J61" s="2" t="n">
        <v>9</v>
      </c>
      <c r="K61" s="2">
        <f>ROUND(I61*J61,2)</f>
        <v/>
      </c>
      <c r="L61" s="2" t="inlineStr">
        <is>
          <t>MED+UNIT?</t>
        </is>
      </c>
      <c r="M61" s="2" t="inlineStr">
        <is>
          <t>37</t>
        </is>
      </c>
    </row>
    <row r="62">
      <c r="A62" s="2" t="inlineStr">
        <is>
          <t>J</t>
        </is>
      </c>
      <c r="B62" s="2" t="inlineStr">
        <is>
          <t>FINISHINGS</t>
        </is>
      </c>
      <c r="C62" s="2" t="inlineStr">
        <is>
          <t>L</t>
        </is>
      </c>
      <c r="D62" s="2" t="inlineStr">
        <is>
          <t>Ref. ST-105, Royal Crema Recon Stone, 20mm thick</t>
        </is>
      </c>
      <c r="E62" s="2" t="inlineStr">
        <is>
          <t>m²</t>
        </is>
      </c>
      <c r="F62" s="2" t="inlineStr">
        <is>
          <t>Reconstituted Stone – Granitech</t>
        </is>
      </c>
      <c r="G62" s="2" t="inlineStr">
        <is>
          <t>1</t>
        </is>
      </c>
      <c r="H62" s="2" t="inlineStr">
        <is>
          <t>20mm reconstituted quartz countertop; marva norde, griff grey, grtc-q-47, polished, 1600x3200mm</t>
        </is>
      </c>
      <c r="I62" s="2" t="n">
        <v>303</v>
      </c>
      <c r="J62" s="2" t="n">
        <v>1258</v>
      </c>
      <c r="K62" s="2">
        <f>ROUND(I62*J62,2)</f>
        <v/>
      </c>
      <c r="L62" s="2" t="inlineStr">
        <is>
          <t>MED</t>
        </is>
      </c>
      <c r="M62" s="2" t="inlineStr">
        <is>
          <t>37</t>
        </is>
      </c>
    </row>
    <row r="63">
      <c r="A63" s="2" t="inlineStr">
        <is>
          <t>J</t>
        </is>
      </c>
      <c r="B63" s="2" t="inlineStr">
        <is>
          <t>FINISHINGS</t>
        </is>
      </c>
      <c r="C63" s="2" t="inlineStr">
        <is>
          <t>M</t>
        </is>
      </c>
      <c r="D63" s="2" t="inlineStr">
        <is>
          <t>Ref. ST-108, Royal Crema Recon Stone, 20mm thick</t>
        </is>
      </c>
      <c r="E63" s="2" t="inlineStr">
        <is>
          <t>m²</t>
        </is>
      </c>
      <c r="F63" s="2" t="inlineStr">
        <is>
          <t>Reconstituted Stone – Granitech</t>
        </is>
      </c>
      <c r="G63" s="2" t="inlineStr">
        <is>
          <t>1</t>
        </is>
      </c>
      <c r="H63" s="2" t="inlineStr">
        <is>
          <t>20mm reconstituted quartz countertop; marva norde, griff grey, grtc-q-47, polished, 1600x3200mm</t>
        </is>
      </c>
      <c r="I63" s="2" t="n">
        <v>303</v>
      </c>
      <c r="J63" s="2" t="n">
        <v>8103</v>
      </c>
      <c r="K63" s="2">
        <f>ROUND(I63*J63,2)</f>
        <v/>
      </c>
      <c r="L63" s="2" t="inlineStr">
        <is>
          <t>MED</t>
        </is>
      </c>
      <c r="M63" s="2" t="inlineStr">
        <is>
          <t>37</t>
        </is>
      </c>
    </row>
    <row r="64">
      <c r="A64" s="2" t="inlineStr">
        <is>
          <t>R</t>
        </is>
      </c>
      <c r="B64" s="2" t="inlineStr">
        <is>
          <t>ELECTRICAL INSTALLATIONS</t>
        </is>
      </c>
      <c r="C64" s="2" t="inlineStr">
        <is>
          <t>A</t>
        </is>
      </c>
      <c r="D64" s="2" t="inlineStr">
        <is>
          <t>Supply &amp; Installation of kWH meter cabinet IP55, 400A TP MCCB, including installation of DEWA supplied kWH meter (for community center)</t>
        </is>
      </c>
      <c r="E64" s="2" t="inlineStr">
        <is>
          <t>No</t>
        </is>
      </c>
      <c r="F64" s="2" t="inlineStr">
        <is>
          <t>KWH/MDB/DB – Hager</t>
        </is>
      </c>
      <c r="G64" s="2" t="inlineStr">
        <is>
          <t>MDB-400A-1</t>
        </is>
      </c>
      <c r="H64" s="2" t="inlineStr">
        <is>
          <t>mdb 400a; iso400a=1, tp mccb20=0, tp mccb32=1, tp mccb40a=3, tp mccb63a=0, tp mccb80a=1, tp mccb100a=1, tp mccb125a=2, mccb20a(sp)=0, mccb32a(sp)=0</t>
        </is>
      </c>
      <c r="I64" s="2" t="n">
        <v>3432</v>
      </c>
      <c r="J64" s="2" t="n">
        <v>1</v>
      </c>
      <c r="K64" s="2">
        <f>ROUND(I64*J64,2)</f>
        <v/>
      </c>
      <c r="L64" s="2" t="inlineStr">
        <is>
          <t>HIGH</t>
        </is>
      </c>
      <c r="M64" s="2" t="inlineStr">
        <is>
          <t>198</t>
        </is>
      </c>
    </row>
    <row r="65">
      <c r="A65" s="2" t="inlineStr">
        <is>
          <t>R</t>
        </is>
      </c>
      <c r="B65" s="2" t="inlineStr">
        <is>
          <t>OAS-1C&amp;2C-NC-GE-GN-ELE-EP-1104/2104/3104</t>
        </is>
      </c>
      <c r="C65" s="2" t="inlineStr">
        <is>
          <t>A</t>
        </is>
      </c>
      <c r="D65" s="2" t="inlineStr">
        <is>
          <t>DB-CH, 21.67kW</t>
        </is>
      </c>
      <c r="E65" s="2" t="inlineStr">
        <is>
          <t>No</t>
        </is>
      </c>
      <c r="F65" s="2" t="inlineStr">
        <is>
          <t>KWH/MDB/DB – Hager</t>
        </is>
      </c>
      <c r="G65" s="2" t="inlineStr">
        <is>
          <t>DB-AMDB-63A-30</t>
        </is>
      </c>
      <c r="H65" s="2" t="inlineStr">
        <is>
          <t>db (acting mdb) 63a; iso63a=1, tp mcb40a=1, elcb40a/100ma=2, elcb40a/30ma=5, mcb10a=6, mcb20a=18, mcb32a=0, mcb40a=0</t>
        </is>
      </c>
      <c r="I65" s="2" t="n">
        <v>961.5</v>
      </c>
      <c r="J65" s="2" t="n">
        <v>1</v>
      </c>
      <c r="K65" s="2">
        <f>ROUND(I65*J65,2)</f>
        <v/>
      </c>
      <c r="L65" s="2" t="inlineStr">
        <is>
          <t>LOW</t>
        </is>
      </c>
      <c r="M65" s="2" t="inlineStr">
        <is>
          <t>199</t>
        </is>
      </c>
    </row>
    <row r="66">
      <c r="A66" s="2" t="inlineStr">
        <is>
          <t>R</t>
        </is>
      </c>
      <c r="B66" s="2" t="inlineStr">
        <is>
          <t>ELECTRICAL INSTALLATIONS</t>
        </is>
      </c>
      <c r="C66" s="2" t="inlineStr">
        <is>
          <t>B</t>
        </is>
      </c>
      <c r="D66" s="2" t="inlineStr">
        <is>
          <t>Supply &amp; Installation of kWH meter cabinet IP55, 125A TP MCCB, including installatio of DEwA supplied kWH meter (for V-5B)</t>
        </is>
      </c>
      <c r="E66" s="2" t="inlineStr">
        <is>
          <t>No</t>
        </is>
      </c>
      <c r="F66" s="2" t="inlineStr">
        <is>
          <t>KWH/MDB/DB – Hager</t>
        </is>
      </c>
      <c r="G66" s="2" t="inlineStr">
        <is>
          <t>MDB-125A-1</t>
        </is>
      </c>
      <c r="H66" s="2" t="inlineStr">
        <is>
          <t>mdb 125a; iso125a=1, tp mccb20=0, tp mccb32=1, tp mccb40a=2, tp mccb63a=1, tp mccb80a=0, tp mccb100a=0, tp mccb125a=0, mccb20a(sp)=3, mccb32a(sp)=1</t>
        </is>
      </c>
      <c r="I66" s="2" t="n">
        <v>2530</v>
      </c>
      <c r="J66" s="2" t="n">
        <v>37</v>
      </c>
      <c r="K66" s="2">
        <f>ROUND(I66*J66,2)</f>
        <v/>
      </c>
      <c r="L66" s="2" t="inlineStr">
        <is>
          <t>HIGH</t>
        </is>
      </c>
      <c r="M66" s="2" t="inlineStr">
        <is>
          <t>198</t>
        </is>
      </c>
    </row>
    <row r="67">
      <c r="A67" s="2" t="inlineStr">
        <is>
          <t>R</t>
        </is>
      </c>
      <c r="B67" s="2" t="inlineStr">
        <is>
          <t>OAS-1C&amp;2C-NC-GE-GN-ELE-EP-1104/2104/3104</t>
        </is>
      </c>
      <c r="C67" s="2" t="inlineStr">
        <is>
          <t>B</t>
        </is>
      </c>
      <c r="D67" s="2" t="inlineStr">
        <is>
          <t>DB-SB, 26.39kW</t>
        </is>
      </c>
      <c r="E67" s="2" t="inlineStr">
        <is>
          <t>No</t>
        </is>
      </c>
      <c r="F67" s="2" t="inlineStr">
        <is>
          <t>KWH/MDB/DB – Hager</t>
        </is>
      </c>
      <c r="G67" s="2" t="inlineStr">
        <is>
          <t>DB-AMDB-63A-30</t>
        </is>
      </c>
      <c r="H67" s="2" t="inlineStr">
        <is>
          <t>db (acting mdb) 63a; iso63a=1, tp mcb40a=1, elcb40a/100ma=2, elcb40a/30ma=5, mcb10a=6, mcb20a=18, mcb32a=0, mcb40a=0</t>
        </is>
      </c>
      <c r="I67" s="2" t="n">
        <v>961.5</v>
      </c>
      <c r="J67" s="2" t="n">
        <v>1</v>
      </c>
      <c r="K67" s="2">
        <f>ROUND(I67*J67,2)</f>
        <v/>
      </c>
      <c r="L67" s="2" t="inlineStr">
        <is>
          <t>LOW</t>
        </is>
      </c>
      <c r="M67" s="2" t="inlineStr">
        <is>
          <t>199</t>
        </is>
      </c>
    </row>
    <row r="68">
      <c r="A68" s="2" t="inlineStr">
        <is>
          <t>R</t>
        </is>
      </c>
      <c r="B68" s="2" t="inlineStr">
        <is>
          <t>ELECTRICAL INSTALLATIONS</t>
        </is>
      </c>
      <c r="C68" s="2" t="inlineStr">
        <is>
          <t>C</t>
        </is>
      </c>
      <c r="D68" s="2" t="inlineStr">
        <is>
          <t>Supply &amp; Installation of kWH meter cabinet IP55, 80A / 63ATP MCCB, including installation of DEWA supplied kWH meter (for TH-Plex)</t>
        </is>
      </c>
      <c r="E68" s="2" t="inlineStr">
        <is>
          <t>No</t>
        </is>
      </c>
      <c r="F68" s="2" t="inlineStr">
        <is>
          <t>KWH/MDB/DB – Hager</t>
        </is>
      </c>
      <c r="G68" s="2" t="inlineStr">
        <is>
          <t>MDB-80A-1</t>
        </is>
      </c>
      <c r="H68" s="2" t="inlineStr">
        <is>
          <t>mdb 80a; iso80a=1, tp mccb20=3, tp mccb32=0, tp mccb40a=2, tp mccb63a=1, tp mccb80a=0, tp mccb100a=0, tp mccb125a=0, mccb20a(sp)=0, mccb32a(sp)=0</t>
        </is>
      </c>
      <c r="I68" s="2" t="n">
        <v>2403</v>
      </c>
      <c r="J68" s="2" t="n">
        <v>510</v>
      </c>
      <c r="K68" s="2">
        <f>ROUND(I68*J68,2)</f>
        <v/>
      </c>
      <c r="L68" s="2" t="inlineStr">
        <is>
          <t>HIGH</t>
        </is>
      </c>
      <c r="M68" s="2" t="inlineStr">
        <is>
          <t>198</t>
        </is>
      </c>
    </row>
    <row r="69">
      <c r="A69" s="2" t="inlineStr">
        <is>
          <t>R</t>
        </is>
      </c>
      <c r="B69" s="2" t="inlineStr">
        <is>
          <t>OAS-1C&amp;2C-NC-GE-GN-ELE-EP-1104/2104/3104</t>
        </is>
      </c>
      <c r="C69" s="2" t="inlineStr">
        <is>
          <t>C</t>
        </is>
      </c>
      <c r="D69" s="2" t="inlineStr">
        <is>
          <t>DB-GYM &amp; YOGA, 38kW</t>
        </is>
      </c>
      <c r="E69" s="2" t="inlineStr">
        <is>
          <t>No</t>
        </is>
      </c>
      <c r="F69" s="2" t="inlineStr">
        <is>
          <t>KWH/MDB/DB – Hager</t>
        </is>
      </c>
      <c r="G69" s="2" t="inlineStr">
        <is>
          <t>DB-AMDB-63A-30</t>
        </is>
      </c>
      <c r="H69" s="2" t="inlineStr">
        <is>
          <t>db (acting mdb) 63a; iso63a=1, tp mcb40a=1, elcb40a/100ma=2, elcb40a/30ma=5, mcb10a=6, mcb20a=18, mcb32a=0, mcb40a=0</t>
        </is>
      </c>
      <c r="I69" s="2" t="n">
        <v>961.5</v>
      </c>
      <c r="J69" s="2" t="n">
        <v>1</v>
      </c>
      <c r="K69" s="2">
        <f>ROUND(I69*J69,2)</f>
        <v/>
      </c>
      <c r="L69" s="2" t="inlineStr">
        <is>
          <t>LOW</t>
        </is>
      </c>
      <c r="M69" s="2" t="inlineStr">
        <is>
          <t>199</t>
        </is>
      </c>
    </row>
    <row r="70">
      <c r="A70" s="2" t="inlineStr">
        <is>
          <t>R</t>
        </is>
      </c>
      <c r="B70" s="2" t="inlineStr">
        <is>
          <t>ELECTRICAL INSTALLATIONS</t>
        </is>
      </c>
      <c r="C70" s="2" t="inlineStr">
        <is>
          <t>D</t>
        </is>
      </c>
      <c r="D70" s="2" t="inlineStr">
        <is>
          <t>Supply &amp; Installation of kWH meter cabinet IP55, 40ATP MCCB, including  installation of DEWA supplied kWH meter (for GR)</t>
        </is>
      </c>
      <c r="E70" s="2" t="inlineStr">
        <is>
          <t>No</t>
        </is>
      </c>
      <c r="F70" s="2" t="inlineStr">
        <is>
          <t>KWH/MDB/DB – Hager</t>
        </is>
      </c>
      <c r="G70" s="2" t="inlineStr">
        <is>
          <t>MDB-125A-4</t>
        </is>
      </c>
      <c r="H70" s="2" t="inlineStr">
        <is>
          <t>mdb 125a; iso125a=1, tp mccb20=0, tp mccb32=1, tp mccb40a=3, tp mccb63a=1, tp mccb80a=0, tp mccb100a=0, tp mccb125a=0, mccb20a(sp)=0, mccb32a(sp)=3</t>
        </is>
      </c>
      <c r="I70" s="2" t="n">
        <v>2552</v>
      </c>
      <c r="J70" s="2" t="n">
        <v>1</v>
      </c>
      <c r="K70" s="2">
        <f>ROUND(I70*J70,2)</f>
        <v/>
      </c>
      <c r="L70" s="2" t="inlineStr">
        <is>
          <t>MED</t>
        </is>
      </c>
      <c r="M70" s="2" t="inlineStr">
        <is>
          <t>198</t>
        </is>
      </c>
    </row>
    <row r="71">
      <c r="A71" s="2" t="inlineStr">
        <is>
          <t>R</t>
        </is>
      </c>
      <c r="B71" s="2" t="inlineStr">
        <is>
          <t>OAS-1C&amp;2C-NC-GE-GN-ELE-EP-1104/2104/3104</t>
        </is>
      </c>
      <c r="C71" s="2" t="inlineStr">
        <is>
          <t>D</t>
        </is>
      </c>
      <c r="D71" s="2" t="inlineStr">
        <is>
          <t>DB-PUMP ROOM, 8kW</t>
        </is>
      </c>
      <c r="E71" s="2" t="inlineStr">
        <is>
          <t>No</t>
        </is>
      </c>
      <c r="F71" s="2" t="inlineStr">
        <is>
          <t>KWH/MDB/DB – Hager</t>
        </is>
      </c>
      <c r="G71" s="2" t="inlineStr">
        <is>
          <t>DB-AMDB-63A-30</t>
        </is>
      </c>
      <c r="H71" s="2" t="inlineStr">
        <is>
          <t>db (acting mdb) 63a; iso63a=1, tp mcb40a=1, elcb40a/100ma=2, elcb40a/30ma=5, mcb10a=6, mcb20a=18, mcb32a=0, mcb40a=0</t>
        </is>
      </c>
      <c r="I71" s="2" t="n">
        <v>961.5</v>
      </c>
      <c r="J71" s="2" t="n">
        <v>1</v>
      </c>
      <c r="K71" s="2">
        <f>ROUND(I71*J71,2)</f>
        <v/>
      </c>
      <c r="L71" s="2" t="inlineStr">
        <is>
          <t>LOW</t>
        </is>
      </c>
      <c r="M71" s="2" t="inlineStr">
        <is>
          <t>199</t>
        </is>
      </c>
    </row>
    <row r="72">
      <c r="A72" s="2" t="inlineStr">
        <is>
          <t>R</t>
        </is>
      </c>
      <c r="B72" s="2" t="inlineStr">
        <is>
          <t>OAS-1C&amp;2C-NC-GE-GN-ELE-EP-1104/2104/3104</t>
        </is>
      </c>
      <c r="C72" s="2" t="inlineStr">
        <is>
          <t>E</t>
        </is>
      </c>
      <c r="D72" s="2" t="inlineStr">
        <is>
          <t>DB-LS, 6kW</t>
        </is>
      </c>
      <c r="E72" s="2" t="inlineStr">
        <is>
          <t>No</t>
        </is>
      </c>
      <c r="F72" s="2" t="inlineStr">
        <is>
          <t>KWH/MDB/DB – Hager</t>
        </is>
      </c>
      <c r="G72" s="2" t="inlineStr">
        <is>
          <t>DB-AMDB-63A-30</t>
        </is>
      </c>
      <c r="H72" s="2" t="inlineStr">
        <is>
          <t>db (acting mdb) 63a; iso63a=1, tp mcb40a=1, elcb40a/100ma=2, elcb40a/30ma=5, mcb10a=6, mcb20a=18, mcb32a=0, mcb40a=0</t>
        </is>
      </c>
      <c r="I72" s="2" t="n">
        <v>961.5</v>
      </c>
      <c r="J72" s="2" t="n">
        <v>1</v>
      </c>
      <c r="K72" s="2">
        <f>ROUND(I72*J72,2)</f>
        <v/>
      </c>
      <c r="L72" s="2" t="inlineStr">
        <is>
          <t>LOW</t>
        </is>
      </c>
      <c r="M72" s="2" t="inlineStr">
        <is>
          <t>199</t>
        </is>
      </c>
    </row>
    <row r="73">
      <c r="A73" s="2" t="inlineStr">
        <is>
          <t>R</t>
        </is>
      </c>
      <c r="B73" s="2" t="inlineStr">
        <is>
          <t>ELECTRICAL INSTALLATIONS</t>
        </is>
      </c>
      <c r="C73" s="2" t="inlineStr">
        <is>
          <t>F</t>
        </is>
      </c>
      <c r="D73" s="2" t="inlineStr">
        <is>
          <t>SMDB-CC, TCL:220kW</t>
        </is>
      </c>
      <c r="E73" s="2" t="inlineStr">
        <is>
          <t>No</t>
        </is>
      </c>
      <c r="F73" s="2" t="inlineStr">
        <is>
          <t>KWH/MDB/DB – Hager</t>
        </is>
      </c>
      <c r="G73" s="2" t="inlineStr">
        <is>
          <t>MDB-125A-4</t>
        </is>
      </c>
      <c r="H73" s="2" t="inlineStr">
        <is>
          <t>mdb 125a; iso125a=1, tp mccb20=0, tp mccb32=1, tp mccb40a=3, tp mccb63a=1, tp mccb80a=0, tp mccb100a=0, tp mccb125a=0, mccb20a(sp)=0, mccb32a(sp)=3</t>
        </is>
      </c>
      <c r="I73" s="2" t="n">
        <v>2552</v>
      </c>
      <c r="J73" s="2" t="n">
        <v>1</v>
      </c>
      <c r="K73" s="2">
        <f>ROUND(I73*J73,2)</f>
        <v/>
      </c>
      <c r="L73" s="2" t="inlineStr">
        <is>
          <t>LOW</t>
        </is>
      </c>
      <c r="M73" s="2" t="inlineStr">
        <is>
          <t>198</t>
        </is>
      </c>
    </row>
    <row r="74">
      <c r="A74" s="2" t="inlineStr">
        <is>
          <t>R</t>
        </is>
      </c>
      <c r="B74" s="2" t="inlineStr">
        <is>
          <t>OAS-1C&amp;2C-NC-GE-GN-ELE-EP-1104/2104/3104</t>
        </is>
      </c>
      <c r="C74" s="2" t="inlineStr">
        <is>
          <t>F</t>
        </is>
      </c>
      <c r="D74" s="2" t="inlineStr">
        <is>
          <t>DB-GF (5B), 15kW</t>
        </is>
      </c>
      <c r="E74" s="2" t="inlineStr">
        <is>
          <t>No</t>
        </is>
      </c>
      <c r="F74" s="2" t="inlineStr">
        <is>
          <t>KWH/MDB/DB – Hager</t>
        </is>
      </c>
      <c r="G74" s="2" t="inlineStr">
        <is>
          <t>DB-AMDB-63A-30</t>
        </is>
      </c>
      <c r="H74" s="2" t="inlineStr">
        <is>
          <t>db (acting mdb) 63a; iso63a=1, tp mcb40a=1, elcb40a/100ma=2, elcb40a/30ma=5, mcb10a=6, mcb20a=18, mcb32a=0, mcb40a=0</t>
        </is>
      </c>
      <c r="I74" s="2" t="n">
        <v>961.5</v>
      </c>
      <c r="J74" s="2" t="n">
        <v>37</v>
      </c>
      <c r="K74" s="2">
        <f>ROUND(I74*J74,2)</f>
        <v/>
      </c>
      <c r="L74" s="2" t="inlineStr">
        <is>
          <t>LOW</t>
        </is>
      </c>
      <c r="M74" s="2" t="inlineStr">
        <is>
          <t>199</t>
        </is>
      </c>
    </row>
    <row r="75">
      <c r="A75" s="2" t="inlineStr">
        <is>
          <t>R</t>
        </is>
      </c>
      <c r="B75" s="2" t="inlineStr">
        <is>
          <t>ELECTRICAL INSTALLATIONS</t>
        </is>
      </c>
      <c r="C75" s="2" t="inlineStr">
        <is>
          <t>G</t>
        </is>
      </c>
      <c r="D75" s="2" t="inlineStr">
        <is>
          <t>SMDB-5B, TCL:75kW</t>
        </is>
      </c>
      <c r="E75" s="2" t="inlineStr">
        <is>
          <t>No</t>
        </is>
      </c>
      <c r="F75" s="2" t="inlineStr">
        <is>
          <t>KWH/MDB/DB – Hager</t>
        </is>
      </c>
      <c r="G75" s="2" t="inlineStr">
        <is>
          <t>MDB-125A-4</t>
        </is>
      </c>
      <c r="H75" s="2" t="inlineStr">
        <is>
          <t>mdb 125a; iso125a=1, tp mccb20=0, tp mccb32=1, tp mccb40a=3, tp mccb63a=1, tp mccb80a=0, tp mccb100a=0, tp mccb125a=0, mccb20a(sp)=0, mccb32a(sp)=3</t>
        </is>
      </c>
      <c r="I75" s="2" t="n">
        <v>2552</v>
      </c>
      <c r="J75" s="2" t="n">
        <v>37</v>
      </c>
      <c r="K75" s="2">
        <f>ROUND(I75*J75,2)</f>
        <v/>
      </c>
      <c r="L75" s="2" t="inlineStr">
        <is>
          <t>LOW</t>
        </is>
      </c>
      <c r="M75" s="2" t="inlineStr">
        <is>
          <t>198</t>
        </is>
      </c>
    </row>
    <row r="76">
      <c r="A76" s="2" t="inlineStr">
        <is>
          <t>R</t>
        </is>
      </c>
      <c r="B76" s="2" t="inlineStr">
        <is>
          <t>OAS-1C&amp;2C-NC-GE-GN-ELE-EP-1104/2104/3104</t>
        </is>
      </c>
      <c r="C76" s="2" t="inlineStr">
        <is>
          <t>G</t>
        </is>
      </c>
      <c r="D76" s="2" t="inlineStr">
        <is>
          <t>DB-FF (5B), 5kW</t>
        </is>
      </c>
      <c r="E76" s="2" t="inlineStr">
        <is>
          <t>No</t>
        </is>
      </c>
      <c r="F76" s="2" t="inlineStr">
        <is>
          <t>KWH/MDB/DB – Hager</t>
        </is>
      </c>
      <c r="G76" s="2" t="inlineStr">
        <is>
          <t>DB-AMDB-63A-30</t>
        </is>
      </c>
      <c r="H76" s="2" t="inlineStr">
        <is>
          <t>db (acting mdb) 63a; iso63a=1, tp mcb40a=1, elcb40a/100ma=2, elcb40a/30ma=5, mcb10a=6, mcb20a=18, mcb32a=0, mcb40a=0</t>
        </is>
      </c>
      <c r="I76" s="2" t="n">
        <v>961.5</v>
      </c>
      <c r="J76" s="2" t="n">
        <v>37</v>
      </c>
      <c r="K76" s="2">
        <f>ROUND(I76*J76,2)</f>
        <v/>
      </c>
      <c r="L76" s="2" t="inlineStr">
        <is>
          <t>LOW</t>
        </is>
      </c>
      <c r="M76" s="2" t="inlineStr">
        <is>
          <t>199</t>
        </is>
      </c>
    </row>
    <row r="77">
      <c r="A77" s="2" t="inlineStr">
        <is>
          <t>R</t>
        </is>
      </c>
      <c r="B77" s="2" t="inlineStr">
        <is>
          <t>OAS-1C&amp;2C-NC-GE-GN-ELE-EP-1104/2104/3104</t>
        </is>
      </c>
      <c r="C77" s="2" t="inlineStr">
        <is>
          <t>H</t>
        </is>
      </c>
      <c r="D77" s="2" t="inlineStr">
        <is>
          <t>DB-2F (5B), 31kW</t>
        </is>
      </c>
      <c r="E77" s="2" t="inlineStr">
        <is>
          <t>No</t>
        </is>
      </c>
      <c r="F77" s="2" t="inlineStr">
        <is>
          <t>KWH/MDB/DB – Hager</t>
        </is>
      </c>
      <c r="G77" s="2" t="inlineStr">
        <is>
          <t>DB-AMDB-63A-30</t>
        </is>
      </c>
      <c r="H77" s="2" t="inlineStr">
        <is>
          <t>db (acting mdb) 63a; iso63a=1, tp mcb40a=1, elcb40a/100ma=2, elcb40a/30ma=5, mcb10a=6, mcb20a=18, mcb32a=0, mcb40a=0</t>
        </is>
      </c>
      <c r="I77" s="2" t="n">
        <v>961.5</v>
      </c>
      <c r="J77" s="2" t="n">
        <v>37</v>
      </c>
      <c r="K77" s="2">
        <f>ROUND(I77*J77,2)</f>
        <v/>
      </c>
      <c r="L77" s="2" t="inlineStr">
        <is>
          <t>LOW</t>
        </is>
      </c>
      <c r="M77" s="2" t="inlineStr">
        <is>
          <t>199</t>
        </is>
      </c>
    </row>
    <row r="78">
      <c r="A78" s="2" t="inlineStr">
        <is>
          <t>R</t>
        </is>
      </c>
      <c r="B78" s="2" t="inlineStr">
        <is>
          <t>OAS-1C&amp;2C-NC-GE-GN-ELE-EP-1104/2104/3104</t>
        </is>
      </c>
      <c r="C78" s="2" t="inlineStr">
        <is>
          <t>J</t>
        </is>
      </c>
      <c r="D78" s="2" t="inlineStr">
        <is>
          <t>DB-GF (4B), 35kW</t>
        </is>
      </c>
      <c r="E78" s="2" t="inlineStr">
        <is>
          <t>No</t>
        </is>
      </c>
      <c r="F78" s="2" t="inlineStr">
        <is>
          <t>KWH/MDB/DB – Hager</t>
        </is>
      </c>
      <c r="G78" s="2" t="inlineStr">
        <is>
          <t>DB-AMDB-63A-30</t>
        </is>
      </c>
      <c r="H78" s="2" t="inlineStr">
        <is>
          <t>db (acting mdb) 63a; iso63a=1, tp mcb40a=1, elcb40a/100ma=2, elcb40a/30ma=5, mcb10a=6, mcb20a=18, mcb32a=0, mcb40a=0</t>
        </is>
      </c>
      <c r="I78" s="2" t="n">
        <v>961.5</v>
      </c>
      <c r="J78" s="2" t="n">
        <v>184</v>
      </c>
      <c r="K78" s="2">
        <f>ROUND(I78*J78,2)</f>
        <v/>
      </c>
      <c r="L78" s="2" t="inlineStr">
        <is>
          <t>LOW</t>
        </is>
      </c>
      <c r="M78" s="2" t="inlineStr">
        <is>
          <t>199</t>
        </is>
      </c>
    </row>
    <row r="79">
      <c r="A79" s="2" t="inlineStr">
        <is>
          <t>R</t>
        </is>
      </c>
      <c r="B79" s="2" t="inlineStr">
        <is>
          <t>OAS-1C&amp;2C-NC-GE-GN-ELE-EP-1104/2104/3104</t>
        </is>
      </c>
      <c r="C79" s="2" t="inlineStr">
        <is>
          <t>K</t>
        </is>
      </c>
      <c r="D79" s="2" t="inlineStr">
        <is>
          <t>DB-FF (4B), 23kW</t>
        </is>
      </c>
      <c r="E79" s="2" t="inlineStr">
        <is>
          <t>No</t>
        </is>
      </c>
      <c r="F79" s="2" t="inlineStr">
        <is>
          <t>KWH/MDB/DB – Hager</t>
        </is>
      </c>
      <c r="G79" s="2" t="inlineStr">
        <is>
          <t>DB-AMDB-63A-30</t>
        </is>
      </c>
      <c r="H79" s="2" t="inlineStr">
        <is>
          <t>db (acting mdb) 63a; iso63a=1, tp mcb40a=1, elcb40a/100ma=2, elcb40a/30ma=5, mcb10a=6, mcb20a=18, mcb32a=0, mcb40a=0</t>
        </is>
      </c>
      <c r="I79" s="2" t="n">
        <v>961.5</v>
      </c>
      <c r="J79" s="2" t="n">
        <v>184</v>
      </c>
      <c r="K79" s="2">
        <f>ROUND(I79*J79,2)</f>
        <v/>
      </c>
      <c r="L79" s="2" t="inlineStr">
        <is>
          <t>LOW</t>
        </is>
      </c>
      <c r="M79" s="2" t="inlineStr">
        <is>
          <t>199</t>
        </is>
      </c>
    </row>
    <row r="80">
      <c r="A80" s="2" t="inlineStr">
        <is>
          <t>R</t>
        </is>
      </c>
      <c r="B80" s="2" t="inlineStr">
        <is>
          <t>OAS-1C&amp;2C-NC-GE-GN-ELE-EP-1104/2104/3104</t>
        </is>
      </c>
      <c r="C80" s="2" t="inlineStr">
        <is>
          <t>L</t>
        </is>
      </c>
      <c r="D80" s="2" t="inlineStr">
        <is>
          <t>DB-GF (3B), 28kW</t>
        </is>
      </c>
      <c r="E80" s="2" t="inlineStr">
        <is>
          <t>No</t>
        </is>
      </c>
      <c r="F80" s="2" t="inlineStr">
        <is>
          <t>KWH/MDB/DB – Hager</t>
        </is>
      </c>
      <c r="G80" s="2" t="inlineStr">
        <is>
          <t>DB-AMDB-63A-30</t>
        </is>
      </c>
      <c r="H80" s="2" t="inlineStr">
        <is>
          <t>db (acting mdb) 63a; iso63a=1, tp mcb40a=1, elcb40a/100ma=2, elcb40a/30ma=5, mcb10a=6, mcb20a=18, mcb32a=0, mcb40a=0</t>
        </is>
      </c>
      <c r="I80" s="2" t="n">
        <v>961.5</v>
      </c>
      <c r="J80" s="2" t="n">
        <v>326</v>
      </c>
      <c r="K80" s="2">
        <f>ROUND(I80*J80,2)</f>
        <v/>
      </c>
      <c r="L80" s="2" t="inlineStr">
        <is>
          <t>LOW</t>
        </is>
      </c>
      <c r="M80" s="2" t="inlineStr">
        <is>
          <t>199</t>
        </is>
      </c>
    </row>
    <row r="81">
      <c r="A81" s="2" t="inlineStr">
        <is>
          <t>R</t>
        </is>
      </c>
      <c r="B81" s="2" t="inlineStr">
        <is>
          <t>OAS-1C&amp;2C-NC-GE-GN-ELE-EP-1104/2104/3104</t>
        </is>
      </c>
      <c r="C81" s="2" t="inlineStr">
        <is>
          <t>M</t>
        </is>
      </c>
      <c r="D81" s="2" t="inlineStr">
        <is>
          <t>DB-FF (3B), 18.44kW</t>
        </is>
      </c>
      <c r="E81" s="2" t="inlineStr">
        <is>
          <t>No</t>
        </is>
      </c>
      <c r="F81" s="2" t="inlineStr">
        <is>
          <t>KWH/MDB/DB – Hager</t>
        </is>
      </c>
      <c r="G81" s="2" t="inlineStr">
        <is>
          <t>DB-AMDB-63A-30</t>
        </is>
      </c>
      <c r="H81" s="2" t="inlineStr">
        <is>
          <t>db (acting mdb) 63a; iso63a=1, tp mcb40a=1, elcb40a/100ma=2, elcb40a/30ma=5, mcb10a=6, mcb20a=18, mcb32a=0, mcb40a=0</t>
        </is>
      </c>
      <c r="I81" s="2" t="n">
        <v>961.5</v>
      </c>
      <c r="J81" s="2" t="n">
        <v>326</v>
      </c>
      <c r="K81" s="2">
        <f>ROUND(I81*J81,2)</f>
        <v/>
      </c>
      <c r="L81" s="2" t="inlineStr">
        <is>
          <t>LOW</t>
        </is>
      </c>
      <c r="M81" s="2" t="inlineStr">
        <is>
          <t>199</t>
        </is>
      </c>
    </row>
    <row r="82">
      <c r="A82" s="2" t="inlineStr">
        <is>
          <t>R</t>
        </is>
      </c>
      <c r="B82" s="2" t="inlineStr">
        <is>
          <t>OAS-1C&amp;2C-NC-GE-GN-ELE-EP-1104/2104/3104</t>
        </is>
      </c>
      <c r="C82" s="2" t="inlineStr">
        <is>
          <t>N</t>
        </is>
      </c>
      <c r="D82" s="2" t="inlineStr">
        <is>
          <t>DB-GR, 15kW</t>
        </is>
      </c>
      <c r="E82" s="2" t="inlineStr">
        <is>
          <t>No</t>
        </is>
      </c>
      <c r="F82" s="2" t="inlineStr">
        <is>
          <t>KWH/MDB/DB – Hager</t>
        </is>
      </c>
      <c r="G82" s="2" t="inlineStr">
        <is>
          <t>DB-AMDB-63A-30</t>
        </is>
      </c>
      <c r="H82" s="2" t="inlineStr">
        <is>
          <t>db (acting mdb) 63a; iso63a=1, tp mcb40a=1, elcb40a/100ma=2, elcb40a/30ma=5, mcb10a=6, mcb20a=18, mcb32a=0, mcb40a=0</t>
        </is>
      </c>
      <c r="I82" s="2" t="n">
        <v>961.5</v>
      </c>
      <c r="J82" s="2" t="n">
        <v>1</v>
      </c>
      <c r="K82" s="2">
        <f>ROUND(I82*J82,2)</f>
        <v/>
      </c>
      <c r="L82" s="2" t="inlineStr">
        <is>
          <t>LOW</t>
        </is>
      </c>
      <c r="M82" s="2" t="inlineStr">
        <is>
          <t>199</t>
        </is>
      </c>
    </row>
    <row r="83">
      <c r="A83" s="2" t="inlineStr">
        <is>
          <t>G</t>
        </is>
      </c>
      <c r="B83" s="2" t="inlineStr">
        <is>
          <t>SUPERSTRUCTURE</t>
        </is>
      </c>
      <c r="C83" s="2" t="inlineStr">
        <is>
          <t>C</t>
        </is>
      </c>
      <c r="D83" s="2" t="inlineStr">
        <is>
          <t>Single layer, 150 gm/m2, geotextile (1.5mm thick) separation layer</t>
        </is>
      </c>
      <c r="E83" s="2" t="inlineStr">
        <is>
          <t>m²</t>
        </is>
      </c>
      <c r="F83" s="2" t="inlineStr">
        <is>
          <t>Porcelain Tiles – RAK/VitrA</t>
        </is>
      </c>
      <c r="G83" s="2" t="inlineStr">
        <is>
          <t>A1-TYPE 6</t>
        </is>
      </c>
      <c r="H83" s="2" t="inlineStr">
        <is>
          <t>flooring tile, general area, r9, 600x600mm, madison stone ivory, a06gmdto-ivo.m0x0r, option 2 unglazed full-body porcelain</t>
        </is>
      </c>
      <c r="I83" s="2" t="n">
        <v>30</v>
      </c>
      <c r="J83" s="2" t="n">
        <v>41204</v>
      </c>
      <c r="K83" s="2">
        <f>ROUND(I83*J83,2)</f>
        <v/>
      </c>
      <c r="L83" s="2" t="inlineStr">
        <is>
          <t>MED</t>
        </is>
      </c>
      <c r="M83" s="2" t="inlineStr">
        <is>
          <t>44</t>
        </is>
      </c>
    </row>
    <row r="84">
      <c r="A84" s="2" t="inlineStr">
        <is>
          <t>G</t>
        </is>
      </c>
      <c r="B84" s="2" t="inlineStr">
        <is>
          <t>SUPERSTRUCTURE</t>
        </is>
      </c>
      <c r="C84" s="2" t="inlineStr">
        <is>
          <t>E</t>
        </is>
      </c>
      <c r="D84" s="2" t="inlineStr">
        <is>
          <t>Geotextile separation layer, 370 gsm</t>
        </is>
      </c>
      <c r="E84" s="2" t="inlineStr">
        <is>
          <t>m²</t>
        </is>
      </c>
      <c r="F84" s="2" t="inlineStr">
        <is>
          <t>Porcelain Tiles – RAK/VitrA</t>
        </is>
      </c>
      <c r="G84" s="2" t="inlineStr">
        <is>
          <t>A1-TYPE 6</t>
        </is>
      </c>
      <c r="H84" s="2" t="inlineStr">
        <is>
          <t>flooring tile, general area, r9, 600x600mm, madison stone ivory, a06gmdto-ivo.m0x0r, option 2 unglazed full-body porcelain</t>
        </is>
      </c>
      <c r="I84" s="2" t="n">
        <v>30</v>
      </c>
      <c r="J84" s="2" t="n">
        <v>41204</v>
      </c>
      <c r="K84" s="2">
        <f>ROUND(I84*J84,2)</f>
        <v/>
      </c>
      <c r="L84" s="2" t="inlineStr">
        <is>
          <t>MED</t>
        </is>
      </c>
      <c r="M84" s="2" t="inlineStr">
        <is>
          <t>44</t>
        </is>
      </c>
    </row>
    <row r="85">
      <c r="A85" s="2" t="inlineStr">
        <is>
          <t>J</t>
        </is>
      </c>
      <c r="B85" s="2" t="inlineStr">
        <is>
          <t>FINISHINGS</t>
        </is>
      </c>
      <c r="C85" s="2" t="inlineStr">
        <is>
          <t>A</t>
        </is>
      </c>
      <c r="D85" s="2" t="inlineStr">
        <is>
          <t>Ref. TL-100, Madison Stone Ivory Porcelain Tile, size 600x600x9mm</t>
        </is>
      </c>
      <c r="E85" s="2" t="inlineStr">
        <is>
          <t>m²</t>
        </is>
      </c>
      <c r="F85" s="2" t="inlineStr">
        <is>
          <t>Porcelain Tiles – RAK/VitrA</t>
        </is>
      </c>
      <c r="G85" s="2" t="inlineStr">
        <is>
          <t>B1-TYPE 1</t>
        </is>
      </c>
      <c r="H85" s="2" t="inlineStr">
        <is>
          <t>flooring tile, wet area, r10, 600x600mm, saltus concrete ivory, a06gstrc-ivo.a0x0r, option 1 glazed porcelain</t>
        </is>
      </c>
      <c r="I85" s="2" t="n">
        <v>26</v>
      </c>
      <c r="J85" s="2" t="n">
        <v>2952</v>
      </c>
      <c r="K85" s="2">
        <f>ROUND(I85*J85,2)</f>
        <v/>
      </c>
      <c r="L85" s="2" t="inlineStr">
        <is>
          <t>MED</t>
        </is>
      </c>
      <c r="M85" s="2" t="inlineStr">
        <is>
          <t>44</t>
        </is>
      </c>
    </row>
    <row r="86">
      <c r="A86" s="2" t="inlineStr">
        <is>
          <t>J</t>
        </is>
      </c>
      <c r="B86" s="2" t="inlineStr">
        <is>
          <t>SUSPENDED CEILINGS</t>
        </is>
      </c>
      <c r="C86" s="2" t="inlineStr">
        <is>
          <t>A</t>
        </is>
      </c>
      <c r="D86" s="2" t="inlineStr">
        <is>
          <t>Ref. 03, 600mm x 120mm x 9mm thick porcelain tile cladding mirage Glocal - GC 14 Nat slight (LRV=49%)</t>
        </is>
      </c>
      <c r="E86" s="2" t="inlineStr">
        <is>
          <t>m²</t>
        </is>
      </c>
      <c r="F86" s="2" t="inlineStr">
        <is>
          <t>Porcelain Tiles – RAK/VitrA</t>
        </is>
      </c>
      <c r="G86" s="2" t="inlineStr">
        <is>
          <t>A1-TYPE 6</t>
        </is>
      </c>
      <c r="H86" s="2" t="inlineStr">
        <is>
          <t>flooring tile, general area, r9, 600x600mm, madison stone ivory, a06gmdto-ivo.m0x0r, option 2 unglazed full-body porcelain</t>
        </is>
      </c>
      <c r="I86" s="2" t="n">
        <v>30</v>
      </c>
      <c r="J86" s="2" t="n">
        <v>3067</v>
      </c>
      <c r="K86" s="2">
        <f>ROUND(I86*J86,2)</f>
        <v/>
      </c>
      <c r="L86" s="2" t="inlineStr">
        <is>
          <t>MED</t>
        </is>
      </c>
      <c r="M86" s="2" t="inlineStr">
        <is>
          <t>44</t>
        </is>
      </c>
    </row>
    <row r="87">
      <c r="A87" s="2" t="inlineStr">
        <is>
          <t>J</t>
        </is>
      </c>
      <c r="B87" s="2" t="inlineStr">
        <is>
          <t>FINISHINGS</t>
        </is>
      </c>
      <c r="C87" s="2" t="inlineStr">
        <is>
          <t>B</t>
        </is>
      </c>
      <c r="D87" s="2" t="inlineStr">
        <is>
          <t>Ref. TL-101, Madison Stone Ivory Porcelain Tile, size 600x600x9mm</t>
        </is>
      </c>
      <c r="E87" s="2" t="inlineStr">
        <is>
          <t>m²</t>
        </is>
      </c>
      <c r="F87" s="2" t="inlineStr">
        <is>
          <t>Porcelain Tiles – RAK/VitrA</t>
        </is>
      </c>
      <c r="G87" s="2" t="inlineStr">
        <is>
          <t>B1-TYPE 1</t>
        </is>
      </c>
      <c r="H87" s="2" t="inlineStr">
        <is>
          <t>flooring tile, wet area, r10, 600x600mm, saltus concrete ivory, a06gstrc-ivo.a0x0r, option 1 glazed porcelain</t>
        </is>
      </c>
      <c r="I87" s="2" t="n">
        <v>26</v>
      </c>
      <c r="J87" s="2" t="n">
        <v>2003</v>
      </c>
      <c r="K87" s="2">
        <f>ROUND(I87*J87,2)</f>
        <v/>
      </c>
      <c r="L87" s="2" t="inlineStr">
        <is>
          <t>MED</t>
        </is>
      </c>
      <c r="M87" s="2" t="inlineStr">
        <is>
          <t>44</t>
        </is>
      </c>
    </row>
    <row r="88">
      <c r="A88" s="2" t="inlineStr">
        <is>
          <t>J</t>
        </is>
      </c>
      <c r="B88" s="2" t="inlineStr">
        <is>
          <t>SUSPENDED CEILINGS</t>
        </is>
      </c>
      <c r="C88" s="2" t="inlineStr">
        <is>
          <t>B</t>
        </is>
      </c>
      <c r="D88" s="2" t="inlineStr">
        <is>
          <t>Ref. 02, 50x1200x9mm thick Wooden effect porcelain tile cladding mirage wild JP 05 NAT (LRV=TBC%)</t>
        </is>
      </c>
      <c r="E88" s="2" t="inlineStr">
        <is>
          <t>m²</t>
        </is>
      </c>
      <c r="F88" s="2" t="inlineStr">
        <is>
          <t>Porcelain Tiles – RAK/VitrA</t>
        </is>
      </c>
      <c r="G88" s="2" t="inlineStr">
        <is>
          <t>A1-TYPE 6</t>
        </is>
      </c>
      <c r="H88" s="2" t="inlineStr">
        <is>
          <t>flooring tile, general area, r9, 600x600mm, madison stone ivory, a06gmdto-ivo.m0x0r, option 2 unglazed full-body porcelain</t>
        </is>
      </c>
      <c r="I88" s="2" t="n">
        <v>30</v>
      </c>
      <c r="J88" s="2" t="n">
        <v>12</v>
      </c>
      <c r="K88" s="2">
        <f>ROUND(I88*J88,2)</f>
        <v/>
      </c>
      <c r="L88" s="2" t="inlineStr">
        <is>
          <t>MED</t>
        </is>
      </c>
      <c r="M88" s="2" t="inlineStr">
        <is>
          <t>44</t>
        </is>
      </c>
    </row>
    <row r="89">
      <c r="A89" s="2" t="inlineStr">
        <is>
          <t>J</t>
        </is>
      </c>
      <c r="B89" s="2" t="inlineStr">
        <is>
          <t>BACKGROUNDS</t>
        </is>
      </c>
      <c r="C89" s="2" t="inlineStr">
        <is>
          <t>C</t>
        </is>
      </c>
      <c r="D89" s="2" t="inlineStr">
        <is>
          <t>To receive wall tiles/stone finish</t>
        </is>
      </c>
      <c r="E89" s="2" t="inlineStr">
        <is>
          <t>m²</t>
        </is>
      </c>
      <c r="F89" s="2" t="inlineStr">
        <is>
          <t>Porcelain Tiles – RAK/VitrA</t>
        </is>
      </c>
      <c r="G89" s="2" t="inlineStr">
        <is>
          <t>D1-TYPE 1</t>
        </is>
      </c>
      <c r="H89" s="2" t="inlineStr">
        <is>
          <t>wall tile, wet area, r9, 600x600mm, saltus concrete ivory, a06gstrc-ivo.m0x0r, option 1 glazed porcelain</t>
        </is>
      </c>
      <c r="I89" s="2" t="n">
        <v>25</v>
      </c>
      <c r="J89" s="2" t="n">
        <v>26691</v>
      </c>
      <c r="K89" s="2">
        <f>ROUND(I89*J89,2)</f>
        <v/>
      </c>
      <c r="L89" s="2" t="inlineStr">
        <is>
          <t>MED</t>
        </is>
      </c>
      <c r="M89" s="2" t="inlineStr">
        <is>
          <t>45</t>
        </is>
      </c>
    </row>
    <row r="90">
      <c r="A90" s="2" t="inlineStr">
        <is>
          <t>J</t>
        </is>
      </c>
      <c r="B90" s="2" t="inlineStr">
        <is>
          <t>FINISHINGS</t>
        </is>
      </c>
      <c r="C90" s="2" t="inlineStr">
        <is>
          <t>C</t>
        </is>
      </c>
      <c r="D90" s="2" t="inlineStr">
        <is>
          <t>Ref. TL-103, Beige Stone Look Porcelain Tile, size 600x600x8mm</t>
        </is>
      </c>
      <c r="E90" s="2" t="inlineStr">
        <is>
          <t>m²</t>
        </is>
      </c>
      <c r="F90" s="2" t="inlineStr">
        <is>
          <t>Porcelain Tiles – RAK/VitrA</t>
        </is>
      </c>
      <c r="G90" s="2" t="inlineStr">
        <is>
          <t>B1-TYPE 1</t>
        </is>
      </c>
      <c r="H90" s="2" t="inlineStr">
        <is>
          <t>flooring tile, wet area, r10, 600x600mm, saltus concrete ivory, a06gstrc-ivo.a0x0r, option 1 glazed porcelain</t>
        </is>
      </c>
      <c r="I90" s="2" t="n">
        <v>26</v>
      </c>
      <c r="J90" s="2" t="n">
        <v>48213</v>
      </c>
      <c r="K90" s="2">
        <f>ROUND(I90*J90,2)</f>
        <v/>
      </c>
      <c r="L90" s="2" t="inlineStr">
        <is>
          <t>MED</t>
        </is>
      </c>
      <c r="M90" s="2" t="inlineStr">
        <is>
          <t>44</t>
        </is>
      </c>
    </row>
    <row r="91">
      <c r="A91" s="2" t="inlineStr">
        <is>
          <t>J</t>
        </is>
      </c>
      <c r="B91" s="2" t="inlineStr">
        <is>
          <t>SUSPENDED CEILINGS</t>
        </is>
      </c>
      <c r="C91" s="2" t="inlineStr">
        <is>
          <t>C</t>
        </is>
      </c>
      <c r="D91" s="2" t="inlineStr">
        <is>
          <t>Ref. 03, 50x1200x9mm thick Wooden effect porcelain tile cladding mirage wild JP 05 NAT (LRV=18%)</t>
        </is>
      </c>
      <c r="E91" s="2" t="inlineStr">
        <is>
          <t>m²</t>
        </is>
      </c>
      <c r="F91" s="2" t="inlineStr">
        <is>
          <t>Porcelain Tiles – RAK/VitrA</t>
        </is>
      </c>
      <c r="G91" s="2" t="inlineStr">
        <is>
          <t>A1-TYPE 6</t>
        </is>
      </c>
      <c r="H91" s="2" t="inlineStr">
        <is>
          <t>flooring tile, general area, r9, 600x600mm, madison stone ivory, a06gmdto-ivo.m0x0r, option 2 unglazed full-body porcelain</t>
        </is>
      </c>
      <c r="I91" s="2" t="n">
        <v>30</v>
      </c>
      <c r="J91" s="2" t="n">
        <v>301</v>
      </c>
      <c r="K91" s="2">
        <f>ROUND(I91*J91,2)</f>
        <v/>
      </c>
      <c r="L91" s="2" t="inlineStr">
        <is>
          <t>MED</t>
        </is>
      </c>
      <c r="M91" s="2" t="inlineStr">
        <is>
          <t>44</t>
        </is>
      </c>
    </row>
    <row r="92">
      <c r="A92" s="2" t="inlineStr">
        <is>
          <t>J</t>
        </is>
      </c>
      <c r="B92" s="2" t="inlineStr">
        <is>
          <t>FINISHINGS</t>
        </is>
      </c>
      <c r="C92" s="2" t="inlineStr">
        <is>
          <t>D</t>
        </is>
      </c>
      <c r="D92" s="2" t="inlineStr">
        <is>
          <t>Ref. TL-104, Beige Stone Look Porcelain Tile, size 600x600x8mm</t>
        </is>
      </c>
      <c r="E92" s="2" t="inlineStr">
        <is>
          <t>m²</t>
        </is>
      </c>
      <c r="F92" s="2" t="inlineStr">
        <is>
          <t>Porcelain Tiles – RAK/VitrA</t>
        </is>
      </c>
      <c r="G92" s="2" t="inlineStr">
        <is>
          <t>B1-TYPE 1</t>
        </is>
      </c>
      <c r="H92" s="2" t="inlineStr">
        <is>
          <t>flooring tile, wet area, r10, 600x600mm, saltus concrete ivory, a06gstrc-ivo.a0x0r, option 1 glazed porcelain</t>
        </is>
      </c>
      <c r="I92" s="2" t="n">
        <v>26</v>
      </c>
      <c r="J92" s="2" t="n">
        <v>7203</v>
      </c>
      <c r="K92" s="2">
        <f>ROUND(I92*J92,2)</f>
        <v/>
      </c>
      <c r="L92" s="2" t="inlineStr">
        <is>
          <t>MED</t>
        </is>
      </c>
      <c r="M92" s="2" t="inlineStr">
        <is>
          <t>44</t>
        </is>
      </c>
    </row>
    <row r="93">
      <c r="A93" s="2" t="inlineStr">
        <is>
          <t>J</t>
        </is>
      </c>
      <c r="B93" s="2" t="inlineStr">
        <is>
          <t>FINISHINGS</t>
        </is>
      </c>
      <c r="C93" s="2" t="inlineStr">
        <is>
          <t>G</t>
        </is>
      </c>
      <c r="D93" s="2" t="inlineStr">
        <is>
          <t>Ref. TL-101, Porcelain tiles, size 600mm x 600mm, to BOH, at service block</t>
        </is>
      </c>
      <c r="E93" s="2" t="inlineStr">
        <is>
          <t>m²</t>
        </is>
      </c>
      <c r="F93" s="2" t="inlineStr">
        <is>
          <t>Porcelain Tiles – RAK/VitrA</t>
        </is>
      </c>
      <c r="G93" s="2" t="inlineStr">
        <is>
          <t>A1-TYPE 6</t>
        </is>
      </c>
      <c r="H93" s="2" t="inlineStr">
        <is>
          <t>flooring tile, general area, r9, 600x600mm, madison stone ivory, a06gmdto-ivo.m0x0r, option 2 unglazed full-body porcelain</t>
        </is>
      </c>
      <c r="I93" s="2" t="n">
        <v>30</v>
      </c>
      <c r="J93" s="2" t="n">
        <v>23</v>
      </c>
      <c r="K93" s="2">
        <f>ROUND(I93*J93,2)</f>
        <v/>
      </c>
      <c r="L93" s="2" t="inlineStr">
        <is>
          <t>MED</t>
        </is>
      </c>
      <c r="M93" s="2" t="inlineStr">
        <is>
          <t>44</t>
        </is>
      </c>
    </row>
    <row r="94">
      <c r="A94" s="2" t="inlineStr">
        <is>
          <t>J</t>
        </is>
      </c>
      <c r="B94" s="2" t="inlineStr">
        <is>
          <t>FINISHINGS</t>
        </is>
      </c>
      <c r="C94" s="2" t="inlineStr">
        <is>
          <t>H</t>
        </is>
      </c>
      <c r="D94" s="2" t="inlineStr">
        <is>
          <t>Ref. TL-102, Porcelain tiles, to ID, at service block</t>
        </is>
      </c>
      <c r="E94" s="2" t="inlineStr">
        <is>
          <t>m²</t>
        </is>
      </c>
      <c r="F94" s="2" t="inlineStr">
        <is>
          <t>Porcelain Tiles – RAK/VitrA</t>
        </is>
      </c>
      <c r="G94" s="2" t="inlineStr">
        <is>
          <t>A1-TYPE 6</t>
        </is>
      </c>
      <c r="H94" s="2" t="inlineStr">
        <is>
          <t>flooring tile, general area, r9, 600x600mm, madison stone ivory, a06gmdto-ivo.m0x0r, option 2 unglazed full-body porcelain</t>
        </is>
      </c>
      <c r="I94" s="2" t="n">
        <v>30</v>
      </c>
      <c r="J94" s="2" t="n">
        <v>74</v>
      </c>
      <c r="K94" s="2">
        <f>ROUND(I94*J94,2)</f>
        <v/>
      </c>
      <c r="L94" s="2" t="inlineStr">
        <is>
          <t>MED</t>
        </is>
      </c>
      <c r="M94" s="2" t="inlineStr">
        <is>
          <t>44</t>
        </is>
      </c>
    </row>
    <row r="95">
      <c r="A95" s="2" t="inlineStr">
        <is>
          <t>J</t>
        </is>
      </c>
      <c r="B95" s="2" t="inlineStr">
        <is>
          <t>FINISHINGS</t>
        </is>
      </c>
      <c r="C95" s="2" t="inlineStr">
        <is>
          <t>J</t>
        </is>
      </c>
      <c r="D95" s="2" t="inlineStr">
        <is>
          <t>Ref. TL-102, Porcelain tiles, size 600mm x 600mm, to BOH, at service block</t>
        </is>
      </c>
      <c r="E95" s="2" t="inlineStr">
        <is>
          <t>m²</t>
        </is>
      </c>
      <c r="F95" s="2" t="inlineStr">
        <is>
          <t>Porcelain Tiles – RAK/VitrA</t>
        </is>
      </c>
      <c r="G95" s="2" t="inlineStr">
        <is>
          <t>A1-TYPE 6</t>
        </is>
      </c>
      <c r="H95" s="2" t="inlineStr">
        <is>
          <t>flooring tile, general area, r9, 600x600mm, madison stone ivory, a06gmdto-ivo.m0x0r, option 2 unglazed full-body porcelain</t>
        </is>
      </c>
      <c r="I95" s="2" t="n">
        <v>30</v>
      </c>
      <c r="J95" s="2" t="n">
        <v>5</v>
      </c>
      <c r="K95" s="2">
        <f>ROUND(I95*J95,2)</f>
        <v/>
      </c>
      <c r="L95" s="2" t="inlineStr">
        <is>
          <t>MED</t>
        </is>
      </c>
      <c r="M95" s="2" t="inlineStr">
        <is>
          <t>44</t>
        </is>
      </c>
    </row>
    <row r="96">
      <c r="A96" s="2" t="inlineStr">
        <is>
          <t>J</t>
        </is>
      </c>
      <c r="B96" s="2" t="inlineStr">
        <is>
          <t>FINISHINGS</t>
        </is>
      </c>
      <c r="C96" s="2" t="inlineStr">
        <is>
          <t>J</t>
        </is>
      </c>
      <c r="D96" s="2" t="inlineStr">
        <is>
          <t>Ref. TL-102, Madison Stone Ivory Porcelain Tile, 9mm thick, 100mm high</t>
        </is>
      </c>
      <c r="E96" s="2" t="inlineStr">
        <is>
          <t>m</t>
        </is>
      </c>
      <c r="F96" s="2" t="inlineStr">
        <is>
          <t>Porcelain Tiles – RAK/VitrA</t>
        </is>
      </c>
      <c r="G96" s="2" t="inlineStr">
        <is>
          <t>A1-TYPE 6</t>
        </is>
      </c>
      <c r="H96" s="2" t="inlineStr">
        <is>
          <t>flooring tile, general area, r9, 600x600mm, madison stone ivory, a06gmdto-ivo.m0x0r, option 2 unglazed full-body porcelain</t>
        </is>
      </c>
      <c r="I96" s="2" t="n">
        <v>30</v>
      </c>
      <c r="J96" s="2" t="n">
        <v>6880</v>
      </c>
      <c r="K96" s="2">
        <f>ROUND(I96*J96,2)</f>
        <v/>
      </c>
      <c r="L96" s="2" t="inlineStr">
        <is>
          <t>MED+UNIT?</t>
        </is>
      </c>
      <c r="M96" s="2" t="inlineStr">
        <is>
          <t>44</t>
        </is>
      </c>
    </row>
    <row r="97">
      <c r="A97" s="2" t="inlineStr">
        <is>
          <t>J</t>
        </is>
      </c>
      <c r="B97" s="2" t="inlineStr">
        <is>
          <t>FINISHINGS</t>
        </is>
      </c>
      <c r="C97" s="2" t="inlineStr">
        <is>
          <t>K</t>
        </is>
      </c>
      <c r="D97" s="2" t="inlineStr">
        <is>
          <t>Ref. TL-103, Heavy duty porcelain tiles, size 600mm x 600mm, to BOH, at service block</t>
        </is>
      </c>
      <c r="E97" s="2" t="inlineStr">
        <is>
          <t>m²</t>
        </is>
      </c>
      <c r="F97" s="2" t="inlineStr">
        <is>
          <t>Porcelain Tiles – RAK/VitrA</t>
        </is>
      </c>
      <c r="G97" s="2" t="inlineStr">
        <is>
          <t>A1-TYPE 6</t>
        </is>
      </c>
      <c r="H97" s="2" t="inlineStr">
        <is>
          <t>flooring tile, general area, r9, 600x600mm, madison stone ivory, a06gmdto-ivo.m0x0r, option 2 unglazed full-body porcelain</t>
        </is>
      </c>
      <c r="I97" s="2" t="n">
        <v>30</v>
      </c>
      <c r="J97" s="2" t="n">
        <v>9</v>
      </c>
      <c r="K97" s="2">
        <f>ROUND(I97*J97,2)</f>
        <v/>
      </c>
      <c r="L97" s="2" t="inlineStr">
        <is>
          <t>MED</t>
        </is>
      </c>
      <c r="M97" s="2" t="inlineStr">
        <is>
          <t>44</t>
        </is>
      </c>
    </row>
    <row r="98">
      <c r="A98" s="2" t="inlineStr">
        <is>
          <t>J</t>
        </is>
      </c>
      <c r="B98" s="2" t="inlineStr">
        <is>
          <t>FINISHINGS</t>
        </is>
      </c>
      <c r="C98" s="2" t="inlineStr">
        <is>
          <t>K</t>
        </is>
      </c>
      <c r="D98" s="2" t="inlineStr">
        <is>
          <t>Ref. TL-103.A, Beige Stone Look Porcelain Tile, 8mm thick, 100mm high</t>
        </is>
      </c>
      <c r="E98" s="2" t="inlineStr">
        <is>
          <t>m</t>
        </is>
      </c>
      <c r="F98" s="2" t="inlineStr">
        <is>
          <t>Porcelain Tiles – RAK/VitrA</t>
        </is>
      </c>
      <c r="G98" s="2" t="inlineStr">
        <is>
          <t>A1-TYPE 6</t>
        </is>
      </c>
      <c r="H98" s="2" t="inlineStr">
        <is>
          <t>flooring tile, general area, r9, 600x600mm, madison stone ivory, a06gmdto-ivo.m0x0r, option 2 unglazed full-body porcelain</t>
        </is>
      </c>
      <c r="I98" s="2" t="n">
        <v>30</v>
      </c>
      <c r="J98" s="2" t="n">
        <v>26848</v>
      </c>
      <c r="K98" s="2">
        <f>ROUND(I98*J98,2)</f>
        <v/>
      </c>
      <c r="L98" s="2" t="inlineStr">
        <is>
          <t>MED+UNIT?</t>
        </is>
      </c>
      <c r="M98" s="2" t="inlineStr">
        <is>
          <t>44</t>
        </is>
      </c>
    </row>
    <row r="99">
      <c r="A99" s="2" t="inlineStr">
        <is>
          <t>J</t>
        </is>
      </c>
      <c r="B99" s="2" t="inlineStr">
        <is>
          <t>FINISHINGS</t>
        </is>
      </c>
      <c r="C99" s="2" t="inlineStr">
        <is>
          <t>L</t>
        </is>
      </c>
      <c r="D99" s="2" t="inlineStr">
        <is>
          <t>Ref. TL-106, Porcelain tiles, size 600mm x 100mm, to BOH, at service block</t>
        </is>
      </c>
      <c r="E99" s="2" t="inlineStr">
        <is>
          <t>m²</t>
        </is>
      </c>
      <c r="F99" s="2" t="inlineStr">
        <is>
          <t>Porcelain Tiles – RAK/VitrA</t>
        </is>
      </c>
      <c r="G99" s="2" t="inlineStr">
        <is>
          <t>A1-TYPE 6</t>
        </is>
      </c>
      <c r="H99" s="2" t="inlineStr">
        <is>
          <t>flooring tile, general area, r9, 600x600mm, madison stone ivory, a06gmdto-ivo.m0x0r, option 2 unglazed full-body porcelain</t>
        </is>
      </c>
      <c r="I99" s="2" t="n">
        <v>30</v>
      </c>
      <c r="J99" s="2" t="n">
        <v>9</v>
      </c>
      <c r="K99" s="2">
        <f>ROUND(I99*J99,2)</f>
        <v/>
      </c>
      <c r="L99" s="2" t="inlineStr">
        <is>
          <t>MED</t>
        </is>
      </c>
      <c r="M99" s="2" t="inlineStr">
        <is>
          <t>44</t>
        </is>
      </c>
    </row>
    <row r="100">
      <c r="A100" s="2" t="inlineStr">
        <is>
          <t>J</t>
        </is>
      </c>
      <c r="B100" s="2" t="inlineStr">
        <is>
          <t>FINISHINGS</t>
        </is>
      </c>
      <c r="C100" s="2" t="inlineStr">
        <is>
          <t>L</t>
        </is>
      </c>
      <c r="D100" s="2" t="inlineStr">
        <is>
          <t>Ref. TL-105, Beige Stone Look Porcelain Tile, 8mm thick, 100mm high</t>
        </is>
      </c>
      <c r="E100" s="2" t="inlineStr">
        <is>
          <t>m</t>
        </is>
      </c>
      <c r="F100" s="2" t="inlineStr">
        <is>
          <t>Porcelain Tiles – RAK/VitrA</t>
        </is>
      </c>
      <c r="G100" s="2" t="inlineStr">
        <is>
          <t>A1-TYPE 6</t>
        </is>
      </c>
      <c r="H100" s="2" t="inlineStr">
        <is>
          <t>flooring tile, general area, r9, 600x600mm, madison stone ivory, a06gmdto-ivo.m0x0r, option 2 unglazed full-body porcelain</t>
        </is>
      </c>
      <c r="I100" s="2" t="n">
        <v>30</v>
      </c>
      <c r="J100" s="2" t="n">
        <v>6538</v>
      </c>
      <c r="K100" s="2">
        <f>ROUND(I100*J100,2)</f>
        <v/>
      </c>
      <c r="L100" s="2" t="inlineStr">
        <is>
          <t>MED+UNIT?</t>
        </is>
      </c>
      <c r="M100" s="2" t="inlineStr">
        <is>
          <t>44</t>
        </is>
      </c>
    </row>
    <row r="101">
      <c r="A101" s="2" t="inlineStr">
        <is>
          <t>J</t>
        </is>
      </c>
      <c r="B101" s="2" t="inlineStr">
        <is>
          <t>FINISHINGS</t>
        </is>
      </c>
      <c r="C101" s="2" t="inlineStr">
        <is>
          <t>L</t>
        </is>
      </c>
      <c r="D101" s="2" t="inlineStr">
        <is>
          <t>Ref. TL-107, Madison Stone Ivory Porcelain Tile, size 600x600x9mm</t>
        </is>
      </c>
      <c r="E101" s="2" t="inlineStr">
        <is>
          <t>m²</t>
        </is>
      </c>
      <c r="F101" s="2" t="inlineStr">
        <is>
          <t>Porcelain Tiles – RAK/VitrA</t>
        </is>
      </c>
      <c r="G101" s="2" t="inlineStr">
        <is>
          <t>B1-TYPE 1</t>
        </is>
      </c>
      <c r="H101" s="2" t="inlineStr">
        <is>
          <t>flooring tile, wet area, r10, 600x600mm, saltus concrete ivory, a06gstrc-ivo.a0x0r, option 1 glazed porcelain</t>
        </is>
      </c>
      <c r="I101" s="2" t="n">
        <v>26</v>
      </c>
      <c r="J101" s="2" t="n">
        <v>4335</v>
      </c>
      <c r="K101" s="2">
        <f>ROUND(I101*J101,2)</f>
        <v/>
      </c>
      <c r="L101" s="2" t="inlineStr">
        <is>
          <t>MED</t>
        </is>
      </c>
      <c r="M101" s="2" t="inlineStr">
        <is>
          <t>44</t>
        </is>
      </c>
    </row>
    <row r="102">
      <c r="A102" s="2" t="inlineStr">
        <is>
          <t>J</t>
        </is>
      </c>
      <c r="B102" s="2" t="inlineStr">
        <is>
          <t>FINISHINGS</t>
        </is>
      </c>
      <c r="C102" s="2" t="inlineStr">
        <is>
          <t>M</t>
        </is>
      </c>
      <c r="D102" s="2" t="inlineStr">
        <is>
          <t>Ref. TL-101, 600x600x9mm Porcelain tiles as per specifications (GLOCAL-GC 02 SP PERFECT)</t>
        </is>
      </c>
      <c r="E102" s="2" t="inlineStr">
        <is>
          <t>m²</t>
        </is>
      </c>
      <c r="F102" s="2" t="inlineStr">
        <is>
          <t>Porcelain Tiles – RAK/VitrA</t>
        </is>
      </c>
      <c r="G102" s="2" t="inlineStr">
        <is>
          <t>B1-TYPE 1</t>
        </is>
      </c>
      <c r="H102" s="2" t="inlineStr">
        <is>
          <t>flooring tile, wet area, r10, 600x600mm, saltus concrete ivory, a06gstrc-ivo.a0x0r, option 1 glazed porcelain</t>
        </is>
      </c>
      <c r="I102" s="2" t="n">
        <v>26</v>
      </c>
      <c r="J102" s="2" t="n">
        <v>6</v>
      </c>
      <c r="K102" s="2">
        <f>ROUND(I102*J102,2)</f>
        <v/>
      </c>
      <c r="L102" s="2" t="inlineStr">
        <is>
          <t>MED</t>
        </is>
      </c>
      <c r="M102" s="2" t="inlineStr">
        <is>
          <t>44</t>
        </is>
      </c>
    </row>
    <row r="103">
      <c r="A103" s="2" t="inlineStr">
        <is>
          <t>J</t>
        </is>
      </c>
      <c r="B103" s="2" t="inlineStr">
        <is>
          <t>FINISHINGS</t>
        </is>
      </c>
      <c r="C103" s="2" t="inlineStr">
        <is>
          <t>M</t>
        </is>
      </c>
      <c r="D103" s="2" t="inlineStr">
        <is>
          <t>Ref. TL-108, Beige Stone Look Porcelain Tile, size 600x600x8mm</t>
        </is>
      </c>
      <c r="E103" s="2" t="inlineStr">
        <is>
          <t>m²</t>
        </is>
      </c>
      <c r="F103" s="2" t="inlineStr">
        <is>
          <t>Porcelain Tiles – RAK/VitrA</t>
        </is>
      </c>
      <c r="G103" s="2" t="inlineStr">
        <is>
          <t>B1-TYPE 1</t>
        </is>
      </c>
      <c r="H103" s="2" t="inlineStr">
        <is>
          <t>flooring tile, wet area, r10, 600x600mm, saltus concrete ivory, a06gstrc-ivo.a0x0r, option 1 glazed porcelain</t>
        </is>
      </c>
      <c r="I103" s="2" t="n">
        <v>26</v>
      </c>
      <c r="J103" s="2" t="n">
        <v>15962</v>
      </c>
      <c r="K103" s="2">
        <f>ROUND(I103*J103,2)</f>
        <v/>
      </c>
      <c r="L103" s="2" t="inlineStr">
        <is>
          <t>MED</t>
        </is>
      </c>
      <c r="M103" s="2" t="inlineStr">
        <is>
          <t>44</t>
        </is>
      </c>
    </row>
    <row r="104">
      <c r="A104" s="2" t="inlineStr">
        <is>
          <t>J</t>
        </is>
      </c>
      <c r="B104" s="2" t="inlineStr">
        <is>
          <t>FINISHINGS</t>
        </is>
      </c>
      <c r="C104" s="2" t="inlineStr">
        <is>
          <t>N</t>
        </is>
      </c>
      <c r="D104" s="2" t="inlineStr">
        <is>
          <t>Ref. TL-105, 300x300mm Porcelain tiles as per specifications  (GLOCAL - GC 02 SP PERFECT)</t>
        </is>
      </c>
      <c r="E104" s="2" t="inlineStr">
        <is>
          <t>m²</t>
        </is>
      </c>
      <c r="F104" s="2" t="inlineStr">
        <is>
          <t>Porcelain Tiles – RAK/VitrA</t>
        </is>
      </c>
      <c r="G104" s="2" t="inlineStr">
        <is>
          <t>A1-TYPE 6</t>
        </is>
      </c>
      <c r="H104" s="2" t="inlineStr">
        <is>
          <t>flooring tile, general area, r9, 600x600mm, madison stone ivory, a06gmdto-ivo.m0x0r, option 2 unglazed full-body porcelain</t>
        </is>
      </c>
      <c r="I104" s="2" t="n">
        <v>30</v>
      </c>
      <c r="J104" s="2" t="n">
        <v>1</v>
      </c>
      <c r="K104" s="2">
        <f>ROUND(I104*J104,2)</f>
        <v/>
      </c>
      <c r="L104" s="2" t="inlineStr">
        <is>
          <t>MED</t>
        </is>
      </c>
      <c r="M104" s="2" t="inlineStr">
        <is>
          <t>44</t>
        </is>
      </c>
    </row>
    <row r="105">
      <c r="A105" s="2" t="inlineStr">
        <is>
          <t>J</t>
        </is>
      </c>
      <c r="B105" s="2" t="inlineStr">
        <is>
          <t>FINISHINGS</t>
        </is>
      </c>
      <c r="C105" s="2" t="inlineStr">
        <is>
          <t>N</t>
        </is>
      </c>
      <c r="D105" s="2" t="inlineStr">
        <is>
          <t>Ref. TL-103, porcelain tile, 100mm high, to service block, to ID area</t>
        </is>
      </c>
      <c r="E105" s="2" t="inlineStr">
        <is>
          <t>m</t>
        </is>
      </c>
      <c r="F105" s="2" t="inlineStr">
        <is>
          <t>Porcelain Tiles – RAK/VitrA</t>
        </is>
      </c>
      <c r="G105" s="2" t="inlineStr">
        <is>
          <t>A1-TYPE 6</t>
        </is>
      </c>
      <c r="H105" s="2" t="inlineStr">
        <is>
          <t>flooring tile, general area, r9, 600x600mm, madison stone ivory, a06gmdto-ivo.m0x0r, option 2 unglazed full-body porcelain</t>
        </is>
      </c>
      <c r="I105" s="2" t="n">
        <v>30</v>
      </c>
      <c r="J105" s="2" t="n">
        <v>36</v>
      </c>
      <c r="K105" s="2">
        <f>ROUND(I105*J105,2)</f>
        <v/>
      </c>
      <c r="L105" s="2" t="inlineStr">
        <is>
          <t>MED+UNIT?</t>
        </is>
      </c>
      <c r="M105" s="2" t="inlineStr">
        <is>
          <t>44</t>
        </is>
      </c>
    </row>
    <row r="106">
      <c r="A106" s="2" t="inlineStr">
        <is>
          <t>J</t>
        </is>
      </c>
      <c r="B106" s="2" t="inlineStr">
        <is>
          <t>FINISHINGS</t>
        </is>
      </c>
      <c r="C106" s="2" t="inlineStr">
        <is>
          <t>P</t>
        </is>
      </c>
      <c r="D106" s="2" t="inlineStr">
        <is>
          <t>Ref. TL-106, 300x300x9mm Porcelain tiles as per specifications (GLOCAL-GC 02 NAT PERFECT)</t>
        </is>
      </c>
      <c r="E106" s="2" t="inlineStr">
        <is>
          <t>m²</t>
        </is>
      </c>
      <c r="F106" s="2" t="inlineStr">
        <is>
          <t>Porcelain Tiles – RAK/VitrA</t>
        </is>
      </c>
      <c r="G106" s="2" t="inlineStr">
        <is>
          <t>A1-TYPE 6</t>
        </is>
      </c>
      <c r="H106" s="2" t="inlineStr">
        <is>
          <t>flooring tile, general area, r9, 600x600mm, madison stone ivory, a06gmdto-ivo.m0x0r, option 2 unglazed full-body porcelain</t>
        </is>
      </c>
      <c r="I106" s="2" t="n">
        <v>30</v>
      </c>
      <c r="J106" s="2" t="n">
        <v>3</v>
      </c>
      <c r="K106" s="2">
        <f>ROUND(I106*J106,2)</f>
        <v/>
      </c>
      <c r="L106" s="2" t="inlineStr">
        <is>
          <t>MED</t>
        </is>
      </c>
      <c r="M106" s="2" t="inlineStr">
        <is>
          <t>44</t>
        </is>
      </c>
    </row>
    <row r="107">
      <c r="A107" s="2" t="inlineStr">
        <is>
          <t>J</t>
        </is>
      </c>
      <c r="B107" s="2" t="inlineStr">
        <is>
          <t>FINISHINGS</t>
        </is>
      </c>
      <c r="C107" s="2" t="inlineStr">
        <is>
          <t>P</t>
        </is>
      </c>
      <c r="D107" s="2" t="inlineStr">
        <is>
          <t>Ref. TL-105, porcelain tile, 100mm high, to service block, to BOH</t>
        </is>
      </c>
      <c r="E107" s="2" t="inlineStr">
        <is>
          <t>m</t>
        </is>
      </c>
      <c r="F107" s="2" t="inlineStr">
        <is>
          <t>Porcelain Tiles – RAK/VitrA</t>
        </is>
      </c>
      <c r="G107" s="2" t="inlineStr">
        <is>
          <t>A1-TYPE 6</t>
        </is>
      </c>
      <c r="H107" s="2" t="inlineStr">
        <is>
          <t>flooring tile, general area, r9, 600x600mm, madison stone ivory, a06gmdto-ivo.m0x0r, option 2 unglazed full-body porcelain</t>
        </is>
      </c>
      <c r="I107" s="2" t="n">
        <v>30</v>
      </c>
      <c r="J107" s="2" t="n">
        <v>18</v>
      </c>
      <c r="K107" s="2">
        <f>ROUND(I107*J107,2)</f>
        <v/>
      </c>
      <c r="L107" s="2" t="inlineStr">
        <is>
          <t>MED+UNIT?</t>
        </is>
      </c>
      <c r="M107" s="2" t="inlineStr">
        <is>
          <t>44</t>
        </is>
      </c>
    </row>
    <row r="108">
      <c r="A108" s="2" t="inlineStr">
        <is>
          <t>J</t>
        </is>
      </c>
      <c r="B108" s="2" t="inlineStr">
        <is>
          <t>FINISHINGS</t>
        </is>
      </c>
      <c r="C108" s="2" t="inlineStr">
        <is>
          <t>P</t>
        </is>
      </c>
      <c r="D108" s="2" t="inlineStr">
        <is>
          <t>Ref. TL-104, 300x600mm Porcelain wall tiles as per specification (GLOCAL-GC 02 SP PERFECT)</t>
        </is>
      </c>
      <c r="E108" s="2" t="inlineStr">
        <is>
          <t>m²</t>
        </is>
      </c>
      <c r="F108" s="2" t="inlineStr">
        <is>
          <t>Porcelain Tiles – RAK/VitrA</t>
        </is>
      </c>
      <c r="G108" s="2" t="inlineStr">
        <is>
          <t>D1-TYPE 1</t>
        </is>
      </c>
      <c r="H108" s="2" t="inlineStr">
        <is>
          <t>wall tile, wet area, r9, 600x600mm, saltus concrete ivory, a06gstrc-ivo.m0x0r, option 1 glazed porcelain</t>
        </is>
      </c>
      <c r="I108" s="2" t="n">
        <v>25</v>
      </c>
      <c r="J108" s="2" t="n">
        <v>14</v>
      </c>
      <c r="K108" s="2">
        <f>ROUND(I108*J108,2)</f>
        <v/>
      </c>
      <c r="L108" s="2" t="inlineStr">
        <is>
          <t>MED</t>
        </is>
      </c>
      <c r="M108" s="2" t="inlineStr">
        <is>
          <t>45</t>
        </is>
      </c>
    </row>
    <row r="109">
      <c r="A109" s="2" t="inlineStr">
        <is>
          <t>J</t>
        </is>
      </c>
      <c r="B109" s="2" t="inlineStr">
        <is>
          <t>FINISHINGS</t>
        </is>
      </c>
      <c r="C109" s="2" t="inlineStr">
        <is>
          <t>Q</t>
        </is>
      </c>
      <c r="D109" s="2" t="inlineStr">
        <is>
          <t>Ref. TL-109, porcelain tile, 100mm high, to service block, to BOH</t>
        </is>
      </c>
      <c r="E109" s="2" t="inlineStr">
        <is>
          <t>m</t>
        </is>
      </c>
      <c r="F109" s="2" t="inlineStr">
        <is>
          <t>Porcelain Tiles – RAK/VitrA</t>
        </is>
      </c>
      <c r="G109" s="2" t="inlineStr">
        <is>
          <t>A1-TYPE 6</t>
        </is>
      </c>
      <c r="H109" s="2" t="inlineStr">
        <is>
          <t>flooring tile, general area, r9, 600x600mm, madison stone ivory, a06gmdto-ivo.m0x0r, option 2 unglazed full-body porcelain</t>
        </is>
      </c>
      <c r="I109" s="2" t="n">
        <v>30</v>
      </c>
      <c r="J109" s="2" t="n">
        <v>37</v>
      </c>
      <c r="K109" s="2">
        <f>ROUND(I109*J109,2)</f>
        <v/>
      </c>
      <c r="L109" s="2" t="inlineStr">
        <is>
          <t>MED+UNIT?</t>
        </is>
      </c>
      <c r="M109" s="2" t="inlineStr">
        <is>
          <t>44</t>
        </is>
      </c>
    </row>
    <row r="110">
      <c r="A110" s="2" t="inlineStr">
        <is>
          <t>J</t>
        </is>
      </c>
      <c r="B110" s="2" t="inlineStr">
        <is>
          <t>FINISHINGS</t>
        </is>
      </c>
      <c r="C110" s="2" t="inlineStr">
        <is>
          <t>Q</t>
        </is>
      </c>
      <c r="D110" s="2" t="inlineStr">
        <is>
          <t>Ref. TL-101, Porcelain tile, to ID areas, at service block</t>
        </is>
      </c>
      <c r="E110" s="2" t="inlineStr">
        <is>
          <t>m²</t>
        </is>
      </c>
      <c r="F110" s="2" t="inlineStr">
        <is>
          <t>Porcelain Tiles – RAK/VitrA</t>
        </is>
      </c>
      <c r="G110" s="2" t="inlineStr">
        <is>
          <t>A1-TYPE 6</t>
        </is>
      </c>
      <c r="H110" s="2" t="inlineStr">
        <is>
          <t>flooring tile, general area, r9, 600x600mm, madison stone ivory, a06gmdto-ivo.m0x0r, option 2 unglazed full-body porcelain</t>
        </is>
      </c>
      <c r="I110" s="2" t="n">
        <v>30</v>
      </c>
      <c r="J110" s="2" t="n">
        <v>39</v>
      </c>
      <c r="K110" s="2">
        <f>ROUND(I110*J110,2)</f>
        <v/>
      </c>
      <c r="L110" s="2" t="inlineStr">
        <is>
          <t>MED</t>
        </is>
      </c>
      <c r="M110" s="2" t="inlineStr">
        <is>
          <t>44</t>
        </is>
      </c>
    </row>
    <row r="111">
      <c r="A111" s="2" t="inlineStr">
        <is>
          <t>J</t>
        </is>
      </c>
      <c r="B111" s="2" t="inlineStr">
        <is>
          <t>FINISHINGS</t>
        </is>
      </c>
      <c r="C111" s="2" t="inlineStr">
        <is>
          <t>R</t>
        </is>
      </c>
      <c r="D111" s="2" t="inlineStr">
        <is>
          <t>Ref. TL-104, Porcelain tile, to ID areas, at service block</t>
        </is>
      </c>
      <c r="E111" s="2" t="inlineStr">
        <is>
          <t>m²</t>
        </is>
      </c>
      <c r="F111" s="2" t="inlineStr">
        <is>
          <t>Porcelain Tiles – RAK/VitrA</t>
        </is>
      </c>
      <c r="G111" s="2" t="inlineStr">
        <is>
          <t>A1-TYPE 6</t>
        </is>
      </c>
      <c r="H111" s="2" t="inlineStr">
        <is>
          <t>flooring tile, general area, r9, 600x600mm, madison stone ivory, a06gmdto-ivo.m0x0r, option 2 unglazed full-body porcelain</t>
        </is>
      </c>
      <c r="I111" s="2" t="n">
        <v>30</v>
      </c>
      <c r="J111" s="2" t="n">
        <v>64</v>
      </c>
      <c r="K111" s="2">
        <f>ROUND(I111*J111,2)</f>
        <v/>
      </c>
      <c r="L111" s="2" t="inlineStr">
        <is>
          <t>MED</t>
        </is>
      </c>
      <c r="M111" s="2" t="inlineStr">
        <is>
          <t>44</t>
        </is>
      </c>
    </row>
    <row r="112">
      <c r="A112" s="2" t="inlineStr">
        <is>
          <t>J</t>
        </is>
      </c>
      <c r="B112" s="2" t="inlineStr">
        <is>
          <t>FINISHINGS</t>
        </is>
      </c>
      <c r="C112" s="2" t="inlineStr">
        <is>
          <t>S</t>
        </is>
      </c>
      <c r="D112" s="2" t="inlineStr">
        <is>
          <t>Ref. TL-104, Porcelain tile, to BOH Areas, at service block</t>
        </is>
      </c>
      <c r="E112" s="2" t="inlineStr">
        <is>
          <t>m²</t>
        </is>
      </c>
      <c r="F112" s="2" t="inlineStr">
        <is>
          <t>Porcelain Tiles – RAK/VitrA</t>
        </is>
      </c>
      <c r="G112" s="2" t="inlineStr">
        <is>
          <t>A1-TYPE 6</t>
        </is>
      </c>
      <c r="H112" s="2" t="inlineStr">
        <is>
          <t>flooring tile, general area, r9, 600x600mm, madison stone ivory, a06gmdto-ivo.m0x0r, option 2 unglazed full-body porcelain</t>
        </is>
      </c>
      <c r="I112" s="2" t="n">
        <v>30</v>
      </c>
      <c r="J112" s="2" t="n">
        <v>48</v>
      </c>
      <c r="K112" s="2">
        <f>ROUND(I112*J112,2)</f>
        <v/>
      </c>
      <c r="L112" s="2" t="inlineStr">
        <is>
          <t>MED</t>
        </is>
      </c>
      <c r="M112" s="2" t="inlineStr">
        <is>
          <t>44</t>
        </is>
      </c>
    </row>
    <row r="113">
      <c r="A113" s="2" t="inlineStr">
        <is>
          <t>Q</t>
        </is>
      </c>
      <c r="B113" s="2" t="inlineStr">
        <is>
          <t>DRAINAGE SYSTEM</t>
        </is>
      </c>
      <c r="C113" s="2" t="inlineStr">
        <is>
          <t>E</t>
        </is>
      </c>
      <c r="D113" s="2" t="inlineStr">
        <is>
          <t>SW-111, Floor Drain Cover (Tile Insert - Square)</t>
        </is>
      </c>
      <c r="E113" s="2" t="inlineStr">
        <is>
          <t>No</t>
        </is>
      </c>
      <c r="F113" s="2" t="inlineStr">
        <is>
          <t>Porcelain Tiles – RAK/VitrA</t>
        </is>
      </c>
      <c r="G113" s="2" t="inlineStr">
        <is>
          <t>A1-TYPE 6</t>
        </is>
      </c>
      <c r="H113" s="2" t="inlineStr">
        <is>
          <t>flooring tile, general area, r9, 600x600mm, madison stone ivory, a06gmdto-ivo.m0x0r, option 2 unglazed full-body porcelain</t>
        </is>
      </c>
      <c r="I113" s="2" t="n">
        <v>30</v>
      </c>
      <c r="J113" s="2" t="n">
        <v>1</v>
      </c>
      <c r="K113" s="2">
        <f>ROUND(I113*J113,2)</f>
        <v/>
      </c>
      <c r="L113" s="2" t="inlineStr">
        <is>
          <t>MED+UNIT?</t>
        </is>
      </c>
      <c r="M113" s="2" t="inlineStr">
        <is>
          <t>44</t>
        </is>
      </c>
    </row>
    <row r="114">
      <c r="A114" s="2" t="inlineStr">
        <is>
          <t>Q</t>
        </is>
      </c>
      <c r="B114" s="2" t="inlineStr">
        <is>
          <t>DRAINAGE SYSTEM</t>
        </is>
      </c>
      <c r="C114" s="2" t="inlineStr">
        <is>
          <t>K</t>
        </is>
      </c>
      <c r="D114" s="2" t="inlineStr">
        <is>
          <t>SW-08, Floor Drain Cover (Tile Insert - Square)</t>
        </is>
      </c>
      <c r="E114" s="2" t="inlineStr">
        <is>
          <t>No</t>
        </is>
      </c>
      <c r="F114" s="2" t="inlineStr">
        <is>
          <t>Porcelain Tiles – RAK/VitrA</t>
        </is>
      </c>
      <c r="G114" s="2" t="inlineStr">
        <is>
          <t>A1-TYPE 6</t>
        </is>
      </c>
      <c r="H114" s="2" t="inlineStr">
        <is>
          <t>flooring tile, general area, r9, 600x600mm, madison stone ivory, a06gmdto-ivo.m0x0r, option 2 unglazed full-body porcelain</t>
        </is>
      </c>
      <c r="I114" s="2" t="n">
        <v>30</v>
      </c>
      <c r="J114" s="2" t="n">
        <v>1</v>
      </c>
      <c r="K114" s="2">
        <f>ROUND(I114*J114,2)</f>
        <v/>
      </c>
      <c r="L114" s="2" t="inlineStr">
        <is>
          <t>MED+UNIT?</t>
        </is>
      </c>
      <c r="M114" s="2" t="inlineStr">
        <is>
          <t>44</t>
        </is>
      </c>
    </row>
    <row r="115">
      <c r="A115" s="2" t="inlineStr">
        <is>
          <t>Q</t>
        </is>
      </c>
      <c r="B115" s="2" t="inlineStr">
        <is>
          <t>DRAINAGE SYSTEM</t>
        </is>
      </c>
      <c r="C115" s="2" t="inlineStr">
        <is>
          <t>Q</t>
        </is>
      </c>
      <c r="D115" s="2" t="inlineStr">
        <is>
          <t>SW-308, Tile Insert - Square Floor Drain Cover</t>
        </is>
      </c>
      <c r="E115" s="2" t="inlineStr">
        <is>
          <t>No</t>
        </is>
      </c>
      <c r="F115" s="2" t="inlineStr">
        <is>
          <t>Porcelain Tiles – RAK/VitrA</t>
        </is>
      </c>
      <c r="G115" s="2" t="inlineStr">
        <is>
          <t>A1-TYPE 6</t>
        </is>
      </c>
      <c r="H115" s="2" t="inlineStr">
        <is>
          <t>flooring tile, general area, r9, 600x600mm, madison stone ivory, a06gmdto-ivo.m0x0r, option 2 unglazed full-body porcelain</t>
        </is>
      </c>
      <c r="I115" s="2" t="n">
        <v>30</v>
      </c>
      <c r="J115" s="2" t="n">
        <v>11</v>
      </c>
      <c r="K115" s="2">
        <f>ROUND(I115*J115,2)</f>
        <v/>
      </c>
      <c r="L115" s="2" t="inlineStr">
        <is>
          <t>MED+UNIT?</t>
        </is>
      </c>
      <c r="M115" s="2" t="inlineStr">
        <is>
          <t>44</t>
        </is>
      </c>
    </row>
    <row r="116">
      <c r="A116" s="2" t="inlineStr">
        <is>
          <t>Q</t>
        </is>
      </c>
      <c r="B116" s="2" t="inlineStr">
        <is>
          <t>DRAINAGE SYSTEM</t>
        </is>
      </c>
      <c r="C116" s="2" t="inlineStr">
        <is>
          <t>R</t>
        </is>
      </c>
      <c r="D116" s="2" t="inlineStr">
        <is>
          <t>SW-309, Tile Insert - Rectangular Shower Drain Cover</t>
        </is>
      </c>
      <c r="E116" s="2" t="inlineStr">
        <is>
          <t>No</t>
        </is>
      </c>
      <c r="F116" s="2" t="inlineStr">
        <is>
          <t>Porcelain Tiles – RAK/VitrA</t>
        </is>
      </c>
      <c r="G116" s="2" t="inlineStr">
        <is>
          <t>A1-TYPE 6</t>
        </is>
      </c>
      <c r="H116" s="2" t="inlineStr">
        <is>
          <t>flooring tile, general area, r9, 600x600mm, madison stone ivory, a06gmdto-ivo.m0x0r, option 2 unglazed full-body porcelain</t>
        </is>
      </c>
      <c r="I116" s="2" t="n">
        <v>30</v>
      </c>
      <c r="J116" s="2" t="n">
        <v>7</v>
      </c>
      <c r="K116" s="2">
        <f>ROUND(I116*J116,2)</f>
        <v/>
      </c>
      <c r="L116" s="2" t="inlineStr">
        <is>
          <t>MED+UNIT?</t>
        </is>
      </c>
      <c r="M116" s="2" t="inlineStr">
        <is>
          <t>44</t>
        </is>
      </c>
    </row>
    <row r="117">
      <c r="A117" s="2" t="inlineStr">
        <is>
          <t>R</t>
        </is>
      </c>
      <c r="B117" s="2" t="inlineStr">
        <is>
          <t>VIDEO INTERCOM SYSTEM</t>
        </is>
      </c>
      <c r="C117" s="2" t="inlineStr">
        <is>
          <t>E</t>
        </is>
      </c>
      <c r="D117" s="2" t="inlineStr">
        <is>
          <t>Intercom indoor unit</t>
        </is>
      </c>
      <c r="E117" s="2" t="inlineStr">
        <is>
          <t>No</t>
        </is>
      </c>
      <c r="F117" s="2" t="inlineStr">
        <is>
          <t>Video Intercom – Comelit</t>
        </is>
      </c>
      <c r="G117" s="2" t="inlineStr">
        <is>
          <t>1</t>
        </is>
      </c>
      <c r="H117" s="2" t="inlineStr">
        <is>
          <t>hands free audio unit - comelit tp6842 7-inch monitor top touch screen</t>
        </is>
      </c>
      <c r="I117" s="2" t="n">
        <v>1190</v>
      </c>
      <c r="J117" s="2" t="n">
        <v>37</v>
      </c>
      <c r="K117" s="2">
        <f>ROUND(I117*J117,2)</f>
        <v/>
      </c>
      <c r="L117" s="2" t="inlineStr">
        <is>
          <t>HIGH</t>
        </is>
      </c>
      <c r="M117" s="2" t="inlineStr">
        <is>
          <t>213</t>
        </is>
      </c>
    </row>
    <row r="118">
      <c r="A118" s="2" t="inlineStr">
        <is>
          <t>R</t>
        </is>
      </c>
      <c r="B118" s="2" t="inlineStr">
        <is>
          <t>SECURITY - ACCESS CONTROL SYSTEM</t>
        </is>
      </c>
      <c r="C118" s="2" t="inlineStr">
        <is>
          <t>K</t>
        </is>
      </c>
      <c r="D118" s="2" t="inlineStr">
        <is>
          <t>Secuirty Intercom</t>
        </is>
      </c>
      <c r="E118" s="2" t="inlineStr">
        <is>
          <t>No</t>
        </is>
      </c>
      <c r="F118" s="2" t="inlineStr">
        <is>
          <t>Video Intercom – Comelit</t>
        </is>
      </c>
      <c r="G118" s="2" t="inlineStr">
        <is>
          <t>1</t>
        </is>
      </c>
      <c r="H118" s="2" t="inlineStr">
        <is>
          <t>hands free audio unit - comelit tp6842 7-inch monitor top touch screen</t>
        </is>
      </c>
      <c r="I118" s="2" t="n">
        <v>1190</v>
      </c>
      <c r="J118" s="2" t="n">
        <v>2</v>
      </c>
      <c r="K118" s="2">
        <f>ROUND(I118*J118,2)</f>
        <v/>
      </c>
      <c r="L118" s="2" t="inlineStr">
        <is>
          <t>HIGH</t>
        </is>
      </c>
      <c r="M118" s="2" t="inlineStr">
        <is>
          <t>213</t>
        </is>
      </c>
    </row>
    <row r="119">
      <c r="A119" s="2" t="inlineStr">
        <is>
          <t>R</t>
        </is>
      </c>
      <c r="B119" s="2" t="inlineStr">
        <is>
          <t>FIRE DETECTION AND ALARM SYSTEM</t>
        </is>
      </c>
      <c r="C119" s="2" t="inlineStr">
        <is>
          <t>A</t>
        </is>
      </c>
      <c r="D119" s="2" t="inlineStr">
        <is>
          <t>Smoke detector wireless with built-in sounder</t>
        </is>
      </c>
      <c r="E119" s="2" t="inlineStr">
        <is>
          <t>No</t>
        </is>
      </c>
      <c r="F119" s="2" t="inlineStr">
        <is>
          <t>Wireless FA – ATEIS</t>
        </is>
      </c>
      <c r="G119" s="2" t="inlineStr">
        <is>
          <t>1</t>
        </is>
      </c>
      <c r="H119" s="2" t="inlineStr">
        <is>
          <t>smoke detector with sounder base (sd)</t>
        </is>
      </c>
      <c r="I119" s="2" t="n">
        <v>79</v>
      </c>
      <c r="J119" s="2" t="n">
        <v>4309</v>
      </c>
      <c r="K119" s="2">
        <f>ROUND(I119*J119,2)</f>
        <v/>
      </c>
      <c r="L119" s="2" t="inlineStr">
        <is>
          <t>HIGH</t>
        </is>
      </c>
      <c r="M119" s="2" t="inlineStr">
        <is>
          <t>226</t>
        </is>
      </c>
    </row>
    <row r="120">
      <c r="A120" s="2" t="inlineStr">
        <is>
          <t>R</t>
        </is>
      </c>
      <c r="B120" s="2" t="inlineStr">
        <is>
          <t>FIRE DETECTION AND ALARM SYSTEM</t>
        </is>
      </c>
      <c r="C120" s="2" t="inlineStr">
        <is>
          <t>B</t>
        </is>
      </c>
      <c r="D120" s="2" t="inlineStr">
        <is>
          <t>Heat detector wireless with buil-in sounder</t>
        </is>
      </c>
      <c r="E120" s="2" t="inlineStr">
        <is>
          <t>No</t>
        </is>
      </c>
      <c r="F120" s="2" t="inlineStr">
        <is>
          <t>Wireless FA – ATEIS</t>
        </is>
      </c>
      <c r="G120" s="2" t="inlineStr">
        <is>
          <t>2</t>
        </is>
      </c>
      <c r="H120" s="2" t="inlineStr">
        <is>
          <t>heat detector with sounder base (hd)</t>
        </is>
      </c>
      <c r="I120" s="2" t="n">
        <v>79</v>
      </c>
      <c r="J120" s="2" t="n">
        <v>1641</v>
      </c>
      <c r="K120" s="2">
        <f>ROUND(I120*J120,2)</f>
        <v/>
      </c>
      <c r="L120" s="2" t="inlineStr">
        <is>
          <t>HIGH</t>
        </is>
      </c>
      <c r="M120" s="2" t="inlineStr">
        <is>
          <t>226</t>
        </is>
      </c>
    </row>
    <row r="121">
      <c r="A121" s="2" t="inlineStr">
        <is>
          <t>Q</t>
        </is>
      </c>
      <c r="B121" s="2" t="inlineStr">
        <is>
          <t>DRAINAGE SYSTEM</t>
        </is>
      </c>
      <c r="C121" s="2" t="inlineStr">
        <is>
          <t>D</t>
        </is>
      </c>
      <c r="D121" s="2" t="inlineStr">
        <is>
          <t>SW-103, Rain Shower Set</t>
        </is>
      </c>
      <c r="E121" s="2" t="inlineStr">
        <is>
          <t>No</t>
        </is>
      </c>
      <c r="F121" s="2" t="inlineStr">
        <is>
          <t>Brassware</t>
        </is>
      </c>
      <c r="G121" s="2" t="inlineStr">
        <is>
          <t>S-15</t>
        </is>
      </c>
      <c r="H121" s="2" t="inlineStr">
        <is>
          <t>wall mounted mixer with hand shower</t>
        </is>
      </c>
      <c r="I121" s="2" t="n">
        <v>595</v>
      </c>
      <c r="J121" s="2" t="n">
        <v>694</v>
      </c>
      <c r="K121" s="2">
        <f>ROUND(I121*J121,2)</f>
        <v/>
      </c>
      <c r="L121" s="2" t="inlineStr">
        <is>
          <t>LOW+UNIT?</t>
        </is>
      </c>
      <c r="M121" s="2" t="inlineStr">
        <is>
          <t>229</t>
        </is>
      </c>
    </row>
    <row r="122">
      <c r="A122" s="2" t="inlineStr">
        <is>
          <t>Q</t>
        </is>
      </c>
      <c r="B122" s="2" t="inlineStr">
        <is>
          <t>DRAINAGE SYSTEM</t>
        </is>
      </c>
      <c r="C122" s="2" t="inlineStr">
        <is>
          <t>D</t>
        </is>
      </c>
      <c r="D122" s="2" t="inlineStr">
        <is>
          <t>SW-103, Wall Mounted Shower Set</t>
        </is>
      </c>
      <c r="E122" s="2" t="inlineStr">
        <is>
          <t>No</t>
        </is>
      </c>
      <c r="F122" s="2" t="inlineStr">
        <is>
          <t>Brassware</t>
        </is>
      </c>
      <c r="G122" s="2" t="inlineStr">
        <is>
          <t>S-15</t>
        </is>
      </c>
      <c r="H122" s="2" t="inlineStr">
        <is>
          <t>wall mounted mixer with hand shower</t>
        </is>
      </c>
      <c r="I122" s="2" t="n">
        <v>595</v>
      </c>
      <c r="J122" s="2" t="n">
        <v>6</v>
      </c>
      <c r="K122" s="2">
        <f>ROUND(I122*J122,2)</f>
        <v/>
      </c>
      <c r="L122" s="2" t="inlineStr">
        <is>
          <t>LOW+UNIT?</t>
        </is>
      </c>
      <c r="M122" s="2" t="inlineStr">
        <is>
          <t>229</t>
        </is>
      </c>
    </row>
    <row r="123">
      <c r="A123" s="2" t="inlineStr">
        <is>
          <t>Q</t>
        </is>
      </c>
      <c r="B123" s="2" t="inlineStr">
        <is>
          <t>DRAINAGE SYSTEM</t>
        </is>
      </c>
      <c r="C123" s="2" t="inlineStr">
        <is>
          <t>E</t>
        </is>
      </c>
      <c r="D123" s="2" t="inlineStr">
        <is>
          <t>SW-103, Wall Mounted Shower Set</t>
        </is>
      </c>
      <c r="E123" s="2" t="inlineStr">
        <is>
          <t>No</t>
        </is>
      </c>
      <c r="F123" s="2" t="inlineStr">
        <is>
          <t>Brassware</t>
        </is>
      </c>
      <c r="G123" s="2" t="inlineStr">
        <is>
          <t>S-15</t>
        </is>
      </c>
      <c r="H123" s="2" t="inlineStr">
        <is>
          <t>wall mounted mixer with hand shower</t>
        </is>
      </c>
      <c r="I123" s="2" t="n">
        <v>595</v>
      </c>
      <c r="J123" s="2" t="n">
        <v>37</v>
      </c>
      <c r="K123" s="2">
        <f>ROUND(I123*J123,2)</f>
        <v/>
      </c>
      <c r="L123" s="2" t="inlineStr">
        <is>
          <t>LOW+UNIT?</t>
        </is>
      </c>
      <c r="M123" s="2" t="inlineStr">
        <is>
          <t>229</t>
        </is>
      </c>
    </row>
    <row r="124">
      <c r="A124" s="2" t="inlineStr">
        <is>
          <t>Q</t>
        </is>
      </c>
      <c r="B124" s="2" t="inlineStr">
        <is>
          <t>DRAINAGE SYSTEM</t>
        </is>
      </c>
      <c r="C124" s="2" t="inlineStr">
        <is>
          <t>E</t>
        </is>
      </c>
      <c r="D124" s="2" t="inlineStr">
        <is>
          <t>SW-104, Wall Mounted Shower Set</t>
        </is>
      </c>
      <c r="E124" s="2" t="inlineStr">
        <is>
          <t>No</t>
        </is>
      </c>
      <c r="F124" s="2" t="inlineStr">
        <is>
          <t>Brassware</t>
        </is>
      </c>
      <c r="G124" s="2" t="inlineStr">
        <is>
          <t>S-15</t>
        </is>
      </c>
      <c r="H124" s="2" t="inlineStr">
        <is>
          <t>wall mounted mixer with hand shower</t>
        </is>
      </c>
      <c r="I124" s="2" t="n">
        <v>595</v>
      </c>
      <c r="J124" s="2" t="n">
        <v>1</v>
      </c>
      <c r="K124" s="2">
        <f>ROUND(I124*J124,2)</f>
        <v/>
      </c>
      <c r="L124" s="2" t="inlineStr">
        <is>
          <t>LOW+UNIT?</t>
        </is>
      </c>
      <c r="M124" s="2" t="inlineStr">
        <is>
          <t>229</t>
        </is>
      </c>
    </row>
    <row r="125">
      <c r="A125" s="2" t="inlineStr">
        <is>
          <t>Q</t>
        </is>
      </c>
      <c r="B125" s="2" t="inlineStr">
        <is>
          <t>DRAINAGE SYSTEM</t>
        </is>
      </c>
      <c r="C125" s="2" t="inlineStr">
        <is>
          <t>F</t>
        </is>
      </c>
      <c r="D125" s="2" t="inlineStr">
        <is>
          <t>SW-104, Hand Shower Set + Exposed Mixer</t>
        </is>
      </c>
      <c r="E125" s="2" t="inlineStr">
        <is>
          <t>No</t>
        </is>
      </c>
      <c r="F125" s="2" t="inlineStr">
        <is>
          <t>Brassware</t>
        </is>
      </c>
      <c r="G125" s="2" t="inlineStr">
        <is>
          <t>S-15</t>
        </is>
      </c>
      <c r="H125" s="2" t="inlineStr">
        <is>
          <t>wall mounted mixer with hand shower</t>
        </is>
      </c>
      <c r="I125" s="2" t="n">
        <v>595</v>
      </c>
      <c r="J125" s="2" t="n">
        <v>510</v>
      </c>
      <c r="K125" s="2">
        <f>ROUND(I125*J125,2)</f>
        <v/>
      </c>
      <c r="L125" s="2" t="inlineStr">
        <is>
          <t>LOW+UNIT?</t>
        </is>
      </c>
      <c r="M125" s="2" t="inlineStr">
        <is>
          <t>229</t>
        </is>
      </c>
    </row>
    <row r="126">
      <c r="A126" s="2" t="inlineStr">
        <is>
          <t>Q</t>
        </is>
      </c>
      <c r="B126" s="2" t="inlineStr">
        <is>
          <t>DRAINAGE SYSTEM</t>
        </is>
      </c>
      <c r="C126" s="2" t="inlineStr">
        <is>
          <t>G</t>
        </is>
      </c>
      <c r="D126" s="2" t="inlineStr">
        <is>
          <t>SW-104, Rain Shower Set</t>
        </is>
      </c>
      <c r="E126" s="2" t="inlineStr">
        <is>
          <t>No</t>
        </is>
      </c>
      <c r="F126" s="2" t="inlineStr">
        <is>
          <t>Brassware</t>
        </is>
      </c>
      <c r="G126" s="2" t="inlineStr">
        <is>
          <t>S-15</t>
        </is>
      </c>
      <c r="H126" s="2" t="inlineStr">
        <is>
          <t>wall mounted mixer with hand shower</t>
        </is>
      </c>
      <c r="I126" s="2" t="n">
        <v>595</v>
      </c>
      <c r="J126" s="2" t="n">
        <v>185</v>
      </c>
      <c r="K126" s="2">
        <f>ROUND(I126*J126,2)</f>
        <v/>
      </c>
      <c r="L126" s="2" t="inlineStr">
        <is>
          <t>LOW+UNIT?</t>
        </is>
      </c>
      <c r="M126" s="2" t="inlineStr">
        <is>
          <t>229</t>
        </is>
      </c>
    </row>
    <row r="127">
      <c r="A127" s="2" t="inlineStr">
        <is>
          <t>Q</t>
        </is>
      </c>
      <c r="B127" s="2" t="inlineStr">
        <is>
          <t>DRAINAGE SYSTEM</t>
        </is>
      </c>
      <c r="C127" s="2" t="inlineStr">
        <is>
          <t>H</t>
        </is>
      </c>
      <c r="D127" s="2" t="inlineStr">
        <is>
          <t>SW-105, Rain Shower Set</t>
        </is>
      </c>
      <c r="E127" s="2" t="inlineStr">
        <is>
          <t>No</t>
        </is>
      </c>
      <c r="F127" s="2" t="inlineStr">
        <is>
          <t>Brassware</t>
        </is>
      </c>
      <c r="G127" s="2" t="inlineStr">
        <is>
          <t>S-15</t>
        </is>
      </c>
      <c r="H127" s="2" t="inlineStr">
        <is>
          <t>wall mounted mixer with hand shower</t>
        </is>
      </c>
      <c r="I127" s="2" t="n">
        <v>595</v>
      </c>
      <c r="J127" s="2" t="n">
        <v>184</v>
      </c>
      <c r="K127" s="2">
        <f>ROUND(I127*J127,2)</f>
        <v/>
      </c>
      <c r="L127" s="2" t="inlineStr">
        <is>
          <t>LOW+UNIT?</t>
        </is>
      </c>
      <c r="M127" s="2" t="inlineStr">
        <is>
          <t>229</t>
        </is>
      </c>
    </row>
    <row r="128">
      <c r="A128" s="2" t="inlineStr">
        <is>
          <t>Q</t>
        </is>
      </c>
      <c r="B128" s="2" t="inlineStr">
        <is>
          <t>DRAINAGE SYSTEM</t>
        </is>
      </c>
      <c r="C128" s="2" t="inlineStr">
        <is>
          <t>J</t>
        </is>
      </c>
      <c r="D128" s="2" t="inlineStr">
        <is>
          <t>SW-105, Hand Shower Set + Exposed Mixer</t>
        </is>
      </c>
      <c r="E128" s="2" t="inlineStr">
        <is>
          <t>No</t>
        </is>
      </c>
      <c r="F128" s="2" t="inlineStr">
        <is>
          <t>Brassware</t>
        </is>
      </c>
      <c r="G128" s="2" t="inlineStr">
        <is>
          <t>S-15</t>
        </is>
      </c>
      <c r="H128" s="2" t="inlineStr">
        <is>
          <t>wall mounted mixer with hand shower</t>
        </is>
      </c>
      <c r="I128" s="2" t="n">
        <v>595</v>
      </c>
      <c r="J128" s="2" t="n">
        <v>37</v>
      </c>
      <c r="K128" s="2">
        <f>ROUND(I128*J128,2)</f>
        <v/>
      </c>
      <c r="L128" s="2" t="inlineStr">
        <is>
          <t>LOW+UNIT?</t>
        </is>
      </c>
      <c r="M128" s="2" t="inlineStr">
        <is>
          <t>229</t>
        </is>
      </c>
    </row>
    <row r="129">
      <c r="A129" s="2" t="inlineStr">
        <is>
          <t>R</t>
        </is>
      </c>
      <c r="B129" s="2" t="inlineStr">
        <is>
          <t>OAS-1C&amp;2C-NC-GE-GN-ELE-EP-1104/2104/3104</t>
        </is>
      </c>
      <c r="C129" s="2" t="inlineStr">
        <is>
          <t>A</t>
        </is>
      </c>
      <c r="D129" s="2" t="inlineStr">
        <is>
          <t>13A Single Switched Socket Outlet</t>
        </is>
      </c>
      <c r="E129" s="2" t="inlineStr">
        <is>
          <t>No</t>
        </is>
      </c>
      <c r="F129" s="2" t="inlineStr">
        <is>
          <t>Switches &amp; Sockets</t>
        </is>
      </c>
      <c r="G129" s="2" t="inlineStr">
        <is>
          <t>7</t>
        </is>
      </c>
      <c r="H129" s="2" t="inlineStr">
        <is>
          <t>1g bs 13a dp socket + switch</t>
        </is>
      </c>
      <c r="I129" s="2" t="n">
        <v>10.45</v>
      </c>
      <c r="J129" s="2" t="n">
        <v>6686</v>
      </c>
      <c r="K129" s="2">
        <f>ROUND(I129*J129,2)</f>
        <v/>
      </c>
      <c r="L129" s="2" t="inlineStr">
        <is>
          <t>MED+UNIT?</t>
        </is>
      </c>
      <c r="M129" s="2" t="inlineStr">
        <is>
          <t>247</t>
        </is>
      </c>
    </row>
    <row r="130">
      <c r="A130" s="2" t="inlineStr">
        <is>
          <t>R</t>
        </is>
      </c>
      <c r="B130" s="2" t="inlineStr">
        <is>
          <t>OAS-1C&amp;2C-NC-GE-GN-ELE-EP-1104/2104/3104</t>
        </is>
      </c>
      <c r="C130" s="2" t="inlineStr">
        <is>
          <t>A</t>
        </is>
      </c>
      <c r="D130" s="2" t="inlineStr">
        <is>
          <t>13A Single Switched Socket Outlet</t>
        </is>
      </c>
      <c r="E130" s="2" t="inlineStr">
        <is>
          <t>No</t>
        </is>
      </c>
      <c r="F130" s="2" t="inlineStr">
        <is>
          <t>Switches &amp; Sockets</t>
        </is>
      </c>
      <c r="G130" s="2" t="inlineStr">
        <is>
          <t>7</t>
        </is>
      </c>
      <c r="H130" s="2" t="inlineStr">
        <is>
          <t>1g bs 13a dp socket + switch</t>
        </is>
      </c>
      <c r="I130" s="2" t="n">
        <v>10.45</v>
      </c>
      <c r="J130" s="2" t="n">
        <v>6686</v>
      </c>
      <c r="K130" s="2">
        <f>ROUND(I130*J130,2)</f>
        <v/>
      </c>
      <c r="L130" s="2" t="inlineStr">
        <is>
          <t>MED+UNIT?</t>
        </is>
      </c>
      <c r="M130" s="2" t="inlineStr">
        <is>
          <t>247</t>
        </is>
      </c>
    </row>
    <row r="131">
      <c r="A131" s="2" t="inlineStr">
        <is>
          <t>R</t>
        </is>
      </c>
      <c r="B131" s="2" t="inlineStr">
        <is>
          <t>OAS-1C&amp;2C-NC-GE-GN-ELE-EP-1104/2104/3104</t>
        </is>
      </c>
      <c r="C131" s="2" t="inlineStr">
        <is>
          <t>A</t>
        </is>
      </c>
      <c r="D131" s="2" t="inlineStr">
        <is>
          <t>10A 1Way 1Gang lighting switch</t>
        </is>
      </c>
      <c r="E131" s="2" t="inlineStr">
        <is>
          <t>No</t>
        </is>
      </c>
      <c r="F131" s="2" t="inlineStr">
        <is>
          <t>Switches &amp; Sockets</t>
        </is>
      </c>
      <c r="G131" s="2" t="inlineStr">
        <is>
          <t>1</t>
        </is>
      </c>
      <c r="H131" s="2" t="inlineStr">
        <is>
          <t>white 1g 1w 16a switch with silver bar</t>
        </is>
      </c>
      <c r="I131" s="2" t="n">
        <v>6.37</v>
      </c>
      <c r="J131" s="2" t="n">
        <v>3032</v>
      </c>
      <c r="K131" s="2">
        <f>ROUND(I131*J131,2)</f>
        <v/>
      </c>
      <c r="L131" s="2" t="inlineStr">
        <is>
          <t>HIGH</t>
        </is>
      </c>
      <c r="M131" s="2" t="inlineStr">
        <is>
          <t>247</t>
        </is>
      </c>
    </row>
    <row r="132">
      <c r="A132" s="2" t="inlineStr">
        <is>
          <t>R</t>
        </is>
      </c>
      <c r="B132" s="2" t="inlineStr">
        <is>
          <t>OAS-1C&amp;2C-NC-GE-GN-ELE-EP-1104/2104/3104</t>
        </is>
      </c>
      <c r="C132" s="2" t="inlineStr">
        <is>
          <t>B</t>
        </is>
      </c>
      <c r="D132" s="2" t="inlineStr">
        <is>
          <t>13A Single Switched Socket Outlet WP</t>
        </is>
      </c>
      <c r="E132" s="2" t="inlineStr">
        <is>
          <t>No</t>
        </is>
      </c>
      <c r="F132" s="2" t="inlineStr">
        <is>
          <t>Switches &amp; Sockets</t>
        </is>
      </c>
      <c r="G132" s="2" t="inlineStr">
        <is>
          <t>7</t>
        </is>
      </c>
      <c r="H132" s="2" t="inlineStr">
        <is>
          <t>1g bs 13a dp socket + switch</t>
        </is>
      </c>
      <c r="I132" s="2" t="n">
        <v>10.45</v>
      </c>
      <c r="J132" s="2" t="n">
        <v>2022</v>
      </c>
      <c r="K132" s="2">
        <f>ROUND(I132*J132,2)</f>
        <v/>
      </c>
      <c r="L132" s="2" t="inlineStr">
        <is>
          <t>MED+UNIT?</t>
        </is>
      </c>
      <c r="M132" s="2" t="inlineStr">
        <is>
          <t>247</t>
        </is>
      </c>
    </row>
    <row r="133">
      <c r="A133" s="2" t="inlineStr">
        <is>
          <t>R</t>
        </is>
      </c>
      <c r="B133" s="2" t="inlineStr">
        <is>
          <t>OAS-1C&amp;2C-NC-GE-GN-ELE-EP-1104/2104/3104</t>
        </is>
      </c>
      <c r="C133" s="2" t="inlineStr">
        <is>
          <t>B</t>
        </is>
      </c>
      <c r="D133" s="2" t="inlineStr">
        <is>
          <t>13A Single Switched Socket Outlet WP</t>
        </is>
      </c>
      <c r="E133" s="2" t="inlineStr">
        <is>
          <t>No</t>
        </is>
      </c>
      <c r="F133" s="2" t="inlineStr">
        <is>
          <t>Switches &amp; Sockets</t>
        </is>
      </c>
      <c r="G133" s="2" t="inlineStr">
        <is>
          <t>7</t>
        </is>
      </c>
      <c r="H133" s="2" t="inlineStr">
        <is>
          <t>1g bs 13a dp socket + switch</t>
        </is>
      </c>
      <c r="I133" s="2" t="n">
        <v>10.45</v>
      </c>
      <c r="J133" s="2" t="n">
        <v>2022</v>
      </c>
      <c r="K133" s="2">
        <f>ROUND(I133*J133,2)</f>
        <v/>
      </c>
      <c r="L133" s="2" t="inlineStr">
        <is>
          <t>MED+UNIT?</t>
        </is>
      </c>
      <c r="M133" s="2" t="inlineStr">
        <is>
          <t>247</t>
        </is>
      </c>
    </row>
    <row r="134">
      <c r="A134" s="2" t="inlineStr">
        <is>
          <t>R</t>
        </is>
      </c>
      <c r="B134" s="2" t="inlineStr">
        <is>
          <t>OAS-1C&amp;2C-NC-GE-GN-ELE-EP-1104/2104/3104</t>
        </is>
      </c>
      <c r="C134" s="2" t="inlineStr">
        <is>
          <t>B</t>
        </is>
      </c>
      <c r="D134" s="2" t="inlineStr">
        <is>
          <t>10A 1Way 1Gang lighting switch, W/P</t>
        </is>
      </c>
      <c r="E134" s="2" t="inlineStr">
        <is>
          <t>No</t>
        </is>
      </c>
      <c r="F134" s="2" t="inlineStr">
        <is>
          <t>Switches &amp; Sockets</t>
        </is>
      </c>
      <c r="G134" s="2" t="inlineStr">
        <is>
          <t>1</t>
        </is>
      </c>
      <c r="H134" s="2" t="inlineStr">
        <is>
          <t>white 1g 1w 16a switch with silver bar</t>
        </is>
      </c>
      <c r="I134" s="2" t="n">
        <v>6.37</v>
      </c>
      <c r="J134" s="2" t="n">
        <v>77</v>
      </c>
      <c r="K134" s="2">
        <f>ROUND(I134*J134,2)</f>
        <v/>
      </c>
      <c r="L134" s="2" t="inlineStr">
        <is>
          <t>HIGH</t>
        </is>
      </c>
      <c r="M134" s="2" t="inlineStr">
        <is>
          <t>247</t>
        </is>
      </c>
    </row>
    <row r="135">
      <c r="A135" s="2" t="inlineStr">
        <is>
          <t>R</t>
        </is>
      </c>
      <c r="B135" s="2" t="inlineStr">
        <is>
          <t>OAS-1C&amp;2C-NC-GE-GN-ELE-EP-1104/2104/3104</t>
        </is>
      </c>
      <c r="C135" s="2" t="inlineStr">
        <is>
          <t>C</t>
        </is>
      </c>
      <c r="D135" s="2" t="inlineStr">
        <is>
          <t>13A Twin Switched Socket Outlet</t>
        </is>
      </c>
      <c r="E135" s="2" t="inlineStr">
        <is>
          <t>No</t>
        </is>
      </c>
      <c r="F135" s="2" t="inlineStr">
        <is>
          <t>Switches &amp; Sockets</t>
        </is>
      </c>
      <c r="G135" s="2" t="inlineStr">
        <is>
          <t>10</t>
        </is>
      </c>
      <c r="H135" s="2" t="inlineStr">
        <is>
          <t>white 2g bs 13a sp switched socket with usb a+c charger</t>
        </is>
      </c>
      <c r="I135" s="2" t="n">
        <v>61.25</v>
      </c>
      <c r="J135" s="2" t="n">
        <v>2730</v>
      </c>
      <c r="K135" s="2">
        <f>ROUND(I135*J135,2)</f>
        <v/>
      </c>
      <c r="L135" s="2" t="inlineStr">
        <is>
          <t>MED+UNIT?</t>
        </is>
      </c>
      <c r="M135" s="2" t="inlineStr">
        <is>
          <t>247</t>
        </is>
      </c>
    </row>
    <row r="136">
      <c r="A136" s="2" t="inlineStr">
        <is>
          <t>R</t>
        </is>
      </c>
      <c r="B136" s="2" t="inlineStr">
        <is>
          <t>OAS-1C&amp;2C-NC-GE-GN-ELE-EP-1104/2104/3104</t>
        </is>
      </c>
      <c r="C136" s="2" t="inlineStr">
        <is>
          <t>C</t>
        </is>
      </c>
      <c r="D136" s="2" t="inlineStr">
        <is>
          <t>13A Twin Switched Socket Outlet</t>
        </is>
      </c>
      <c r="E136" s="2" t="inlineStr">
        <is>
          <t>No</t>
        </is>
      </c>
      <c r="F136" s="2" t="inlineStr">
        <is>
          <t>Switches &amp; Sockets</t>
        </is>
      </c>
      <c r="G136" s="2" t="inlineStr">
        <is>
          <t>10</t>
        </is>
      </c>
      <c r="H136" s="2" t="inlineStr">
        <is>
          <t>white 2g bs 13a sp switched socket with usb a+c charger</t>
        </is>
      </c>
      <c r="I136" s="2" t="n">
        <v>61.25</v>
      </c>
      <c r="J136" s="2" t="n">
        <v>2730</v>
      </c>
      <c r="K136" s="2">
        <f>ROUND(I136*J136,2)</f>
        <v/>
      </c>
      <c r="L136" s="2" t="inlineStr">
        <is>
          <t>MED+UNIT?</t>
        </is>
      </c>
      <c r="M136" s="2" t="inlineStr">
        <is>
          <t>247</t>
        </is>
      </c>
    </row>
    <row r="137">
      <c r="A137" s="2" t="inlineStr">
        <is>
          <t>R</t>
        </is>
      </c>
      <c r="B137" s="2" t="inlineStr">
        <is>
          <t>OAS-1C&amp;2C-NC-GE-GN-ELE-EP-1104/2104/3104</t>
        </is>
      </c>
      <c r="C137" s="2" t="inlineStr">
        <is>
          <t>C</t>
        </is>
      </c>
      <c r="D137" s="2" t="inlineStr">
        <is>
          <t>10A 1Way 2Gang lighting switch</t>
        </is>
      </c>
      <c r="E137" s="2" t="inlineStr">
        <is>
          <t>No</t>
        </is>
      </c>
      <c r="F137" s="2" t="inlineStr">
        <is>
          <t>Switches &amp; Sockets</t>
        </is>
      </c>
      <c r="G137" s="2" t="inlineStr">
        <is>
          <t>1</t>
        </is>
      </c>
      <c r="H137" s="2" t="inlineStr">
        <is>
          <t>white 1g 1w 16a switch with silver bar</t>
        </is>
      </c>
      <c r="I137" s="2" t="n">
        <v>6.37</v>
      </c>
      <c r="J137" s="2" t="n">
        <v>5366</v>
      </c>
      <c r="K137" s="2">
        <f>ROUND(I137*J137,2)</f>
        <v/>
      </c>
      <c r="L137" s="2" t="inlineStr">
        <is>
          <t>HIGH</t>
        </is>
      </c>
      <c r="M137" s="2" t="inlineStr">
        <is>
          <t>247</t>
        </is>
      </c>
    </row>
    <row r="138">
      <c r="A138" s="2" t="inlineStr">
        <is>
          <t>R</t>
        </is>
      </c>
      <c r="B138" s="2" t="inlineStr">
        <is>
          <t>OAS-1C&amp;2C-NC-GE-GN-ELE-EP-1104/2104/3104</t>
        </is>
      </c>
      <c r="C138" s="2" t="inlineStr">
        <is>
          <t>D</t>
        </is>
      </c>
      <c r="D138" s="2" t="inlineStr">
        <is>
          <t>13A Single Switched Socket Outlet with USB</t>
        </is>
      </c>
      <c r="E138" s="2" t="inlineStr">
        <is>
          <t>No</t>
        </is>
      </c>
      <c r="F138" s="2" t="inlineStr">
        <is>
          <t>Switches &amp; Sockets</t>
        </is>
      </c>
      <c r="G138" s="2" t="inlineStr">
        <is>
          <t>7</t>
        </is>
      </c>
      <c r="H138" s="2" t="inlineStr">
        <is>
          <t>1g bs 13a dp socket + switch</t>
        </is>
      </c>
      <c r="I138" s="2" t="n">
        <v>10.45</v>
      </c>
      <c r="J138" s="2" t="n">
        <v>2520</v>
      </c>
      <c r="K138" s="2">
        <f>ROUND(I138*J138,2)</f>
        <v/>
      </c>
      <c r="L138" s="2" t="inlineStr">
        <is>
          <t>MED+UNIT?</t>
        </is>
      </c>
      <c r="M138" s="2" t="inlineStr">
        <is>
          <t>247</t>
        </is>
      </c>
    </row>
    <row r="139">
      <c r="A139" s="2" t="inlineStr">
        <is>
          <t>R</t>
        </is>
      </c>
      <c r="B139" s="2" t="inlineStr">
        <is>
          <t>OAS-1C&amp;2C-NC-GE-GN-ELE-EP-1104/2104/3104</t>
        </is>
      </c>
      <c r="C139" s="2" t="inlineStr">
        <is>
          <t>D</t>
        </is>
      </c>
      <c r="D139" s="2" t="inlineStr">
        <is>
          <t>13A Single Switched Socket Outlet with USB</t>
        </is>
      </c>
      <c r="E139" s="2" t="inlineStr">
        <is>
          <t>No</t>
        </is>
      </c>
      <c r="F139" s="2" t="inlineStr">
        <is>
          <t>Switches &amp; Sockets</t>
        </is>
      </c>
      <c r="G139" s="2" t="inlineStr">
        <is>
          <t>7</t>
        </is>
      </c>
      <c r="H139" s="2" t="inlineStr">
        <is>
          <t>1g bs 13a dp socket + switch</t>
        </is>
      </c>
      <c r="I139" s="2" t="n">
        <v>10.45</v>
      </c>
      <c r="J139" s="2" t="n">
        <v>2520</v>
      </c>
      <c r="K139" s="2">
        <f>ROUND(I139*J139,2)</f>
        <v/>
      </c>
      <c r="L139" s="2" t="inlineStr">
        <is>
          <t>MED+UNIT?</t>
        </is>
      </c>
      <c r="M139" s="2" t="inlineStr">
        <is>
          <t>247</t>
        </is>
      </c>
    </row>
    <row r="140">
      <c r="A140" s="2" t="inlineStr">
        <is>
          <t>R</t>
        </is>
      </c>
      <c r="B140" s="2" t="inlineStr">
        <is>
          <t>OAS-1C&amp;2C-NC-GE-GN-ELE-EP-1104/2104/3104</t>
        </is>
      </c>
      <c r="C140" s="2" t="inlineStr">
        <is>
          <t>D</t>
        </is>
      </c>
      <c r="D140" s="2" t="inlineStr">
        <is>
          <t>10A 2Way 1Gang lighting switch</t>
        </is>
      </c>
      <c r="E140" s="2" t="inlineStr">
        <is>
          <t>No</t>
        </is>
      </c>
      <c r="F140" s="2" t="inlineStr">
        <is>
          <t>Switches &amp; Sockets</t>
        </is>
      </c>
      <c r="G140" s="2" t="inlineStr">
        <is>
          <t>3</t>
        </is>
      </c>
      <c r="H140" s="2" t="inlineStr">
        <is>
          <t>white 2g 1w 16a switch with silver bar</t>
        </is>
      </c>
      <c r="I140" s="2" t="n">
        <v>9.210000000000001</v>
      </c>
      <c r="J140" s="2" t="n">
        <v>2667</v>
      </c>
      <c r="K140" s="2">
        <f>ROUND(I140*J140,2)</f>
        <v/>
      </c>
      <c r="L140" s="2" t="inlineStr">
        <is>
          <t>HIGH</t>
        </is>
      </c>
      <c r="M140" s="2" t="inlineStr">
        <is>
          <t>247</t>
        </is>
      </c>
    </row>
    <row r="141">
      <c r="A141" s="2" t="inlineStr">
        <is>
          <t>R</t>
        </is>
      </c>
      <c r="B141" s="2" t="inlineStr">
        <is>
          <t>OAS-1C&amp;2C-NC-GE-GN-ELE-EP-1104/2104/3104</t>
        </is>
      </c>
      <c r="C141" s="2" t="inlineStr">
        <is>
          <t>E</t>
        </is>
      </c>
      <c r="D141" s="2" t="inlineStr">
        <is>
          <t>10A 2Way 2Gang lighting switch</t>
        </is>
      </c>
      <c r="E141" s="2" t="inlineStr">
        <is>
          <t>No</t>
        </is>
      </c>
      <c r="F141" s="2" t="inlineStr">
        <is>
          <t>Switches &amp; Sockets</t>
        </is>
      </c>
      <c r="G141" s="2" t="inlineStr">
        <is>
          <t>3</t>
        </is>
      </c>
      <c r="H141" s="2" t="inlineStr">
        <is>
          <t>white 2g 1w 16a switch with silver bar</t>
        </is>
      </c>
      <c r="I141" s="2" t="n">
        <v>9.210000000000001</v>
      </c>
      <c r="J141" s="2" t="n">
        <v>1794</v>
      </c>
      <c r="K141" s="2">
        <f>ROUND(I141*J141,2)</f>
        <v/>
      </c>
      <c r="L141" s="2" t="inlineStr">
        <is>
          <t>HIGH</t>
        </is>
      </c>
      <c r="M141" s="2" t="inlineStr">
        <is>
          <t>247</t>
        </is>
      </c>
    </row>
    <row r="142">
      <c r="A142" s="2" t="inlineStr">
        <is>
          <t>R</t>
        </is>
      </c>
      <c r="B142" s="2" t="inlineStr">
        <is>
          <t>OAS-1C&amp;2C-NC-GE-GN-ELE-EP-1104/2104/3104</t>
        </is>
      </c>
      <c r="C142" s="2" t="inlineStr">
        <is>
          <t>F</t>
        </is>
      </c>
      <c r="D142" s="2" t="inlineStr">
        <is>
          <t>13A Unswitched Fused Spur Outlet</t>
        </is>
      </c>
      <c r="E142" s="2" t="inlineStr">
        <is>
          <t>No</t>
        </is>
      </c>
      <c r="F142" s="2" t="inlineStr">
        <is>
          <t>Switches &amp; Sockets</t>
        </is>
      </c>
      <c r="G142" s="2" t="inlineStr">
        <is>
          <t>4</t>
        </is>
      </c>
      <c r="H142" s="2" t="inlineStr">
        <is>
          <t>white 2g 2w 16a switch with silver bar</t>
        </is>
      </c>
      <c r="I142" s="2" t="n">
        <v>10.155</v>
      </c>
      <c r="J142" s="2" t="n">
        <v>1771</v>
      </c>
      <c r="K142" s="2">
        <f>ROUND(I142*J142,2)</f>
        <v/>
      </c>
      <c r="L142" s="2" t="inlineStr">
        <is>
          <t>MED+UNIT?</t>
        </is>
      </c>
      <c r="M142" s="2" t="inlineStr">
        <is>
          <t>247</t>
        </is>
      </c>
    </row>
    <row r="143">
      <c r="A143" s="2" t="inlineStr">
        <is>
          <t>R</t>
        </is>
      </c>
      <c r="B143" s="2" t="inlineStr">
        <is>
          <t>OAS-1C&amp;2C-NC-GE-GN-ELE-EP-1104/2104/3104</t>
        </is>
      </c>
      <c r="C143" s="2" t="inlineStr">
        <is>
          <t>F</t>
        </is>
      </c>
      <c r="D143" s="2" t="inlineStr">
        <is>
          <t>13A Unswitched Fused Spur Outlet</t>
        </is>
      </c>
      <c r="E143" s="2" t="inlineStr">
        <is>
          <t>No</t>
        </is>
      </c>
      <c r="F143" s="2" t="inlineStr">
        <is>
          <t>Switches &amp; Sockets</t>
        </is>
      </c>
      <c r="G143" s="2" t="inlineStr">
        <is>
          <t>4</t>
        </is>
      </c>
      <c r="H143" s="2" t="inlineStr">
        <is>
          <t>white 2g 2w 16a switch with silver bar</t>
        </is>
      </c>
      <c r="I143" s="2" t="n">
        <v>10.155</v>
      </c>
      <c r="J143" s="2" t="n">
        <v>1771</v>
      </c>
      <c r="K143" s="2">
        <f>ROUND(I143*J143,2)</f>
        <v/>
      </c>
      <c r="L143" s="2" t="inlineStr">
        <is>
          <t>MED+UNIT?</t>
        </is>
      </c>
      <c r="M143" s="2" t="inlineStr">
        <is>
          <t>247</t>
        </is>
      </c>
    </row>
    <row r="144">
      <c r="A144" s="2" t="inlineStr">
        <is>
          <t>R</t>
        </is>
      </c>
      <c r="B144" s="2" t="inlineStr">
        <is>
          <t>OAS-1C&amp;2C-NC-GE-GN-ELE-EP-1104/2104/3104</t>
        </is>
      </c>
      <c r="C144" s="2" t="inlineStr">
        <is>
          <t>F</t>
        </is>
      </c>
      <c r="D144" s="2" t="inlineStr">
        <is>
          <t>10A 1Way 3Gang lighting switch</t>
        </is>
      </c>
      <c r="E144" s="2" t="inlineStr">
        <is>
          <t>No</t>
        </is>
      </c>
      <c r="F144" s="2" t="inlineStr">
        <is>
          <t>Switches &amp; Sockets</t>
        </is>
      </c>
      <c r="G144" s="2" t="inlineStr">
        <is>
          <t>1</t>
        </is>
      </c>
      <c r="H144" s="2" t="inlineStr">
        <is>
          <t>white 1g 1w 16a switch with silver bar</t>
        </is>
      </c>
      <c r="I144" s="2" t="n">
        <v>6.37</v>
      </c>
      <c r="J144" s="2" t="n">
        <v>75</v>
      </c>
      <c r="K144" s="2">
        <f>ROUND(I144*J144,2)</f>
        <v/>
      </c>
      <c r="L144" s="2" t="inlineStr">
        <is>
          <t>HIGH</t>
        </is>
      </c>
      <c r="M144" s="2" t="inlineStr">
        <is>
          <t>247</t>
        </is>
      </c>
    </row>
    <row r="145">
      <c r="A145" s="2" t="inlineStr">
        <is>
          <t>R</t>
        </is>
      </c>
      <c r="B145" s="2" t="inlineStr">
        <is>
          <t>OAS-1C&amp;2C-NC-GE-GN-ELE-EP-1104/2104/3104</t>
        </is>
      </c>
      <c r="C145" s="2" t="inlineStr">
        <is>
          <t>G</t>
        </is>
      </c>
      <c r="D145" s="2" t="inlineStr">
        <is>
          <t>13A Unswitched Fused Spur Outlet, W/P</t>
        </is>
      </c>
      <c r="E145" s="2" t="inlineStr">
        <is>
          <t>No</t>
        </is>
      </c>
      <c r="F145" s="2" t="inlineStr">
        <is>
          <t>Switches &amp; Sockets</t>
        </is>
      </c>
      <c r="G145" s="2" t="inlineStr">
        <is>
          <t>4</t>
        </is>
      </c>
      <c r="H145" s="2" t="inlineStr">
        <is>
          <t>white 2g 2w 16a switch with silver bar</t>
        </is>
      </c>
      <c r="I145" s="2" t="n">
        <v>10.155</v>
      </c>
      <c r="J145" s="2" t="n">
        <v>3</v>
      </c>
      <c r="K145" s="2">
        <f>ROUND(I145*J145,2)</f>
        <v/>
      </c>
      <c r="L145" s="2" t="inlineStr">
        <is>
          <t>MED+UNIT?</t>
        </is>
      </c>
      <c r="M145" s="2" t="inlineStr">
        <is>
          <t>247</t>
        </is>
      </c>
    </row>
    <row r="146">
      <c r="A146" s="2" t="inlineStr">
        <is>
          <t>R</t>
        </is>
      </c>
      <c r="B146" s="2" t="inlineStr">
        <is>
          <t>OAS-1C&amp;2C-NC-GE-GN-ELE-EP-1104/2104/3104</t>
        </is>
      </c>
      <c r="C146" s="2" t="inlineStr">
        <is>
          <t>G</t>
        </is>
      </c>
      <c r="D146" s="2" t="inlineStr">
        <is>
          <t>13A Unswitched Fused Spur Outlet, W/P</t>
        </is>
      </c>
      <c r="E146" s="2" t="inlineStr">
        <is>
          <t>No</t>
        </is>
      </c>
      <c r="F146" s="2" t="inlineStr">
        <is>
          <t>Switches &amp; Sockets</t>
        </is>
      </c>
      <c r="G146" s="2" t="inlineStr">
        <is>
          <t>4</t>
        </is>
      </c>
      <c r="H146" s="2" t="inlineStr">
        <is>
          <t>white 2g 2w 16a switch with silver bar</t>
        </is>
      </c>
      <c r="I146" s="2" t="n">
        <v>10.155</v>
      </c>
      <c r="J146" s="2" t="n">
        <v>3</v>
      </c>
      <c r="K146" s="2">
        <f>ROUND(I146*J146,2)</f>
        <v/>
      </c>
      <c r="L146" s="2" t="inlineStr">
        <is>
          <t>MED+UNIT?</t>
        </is>
      </c>
      <c r="M146" s="2" t="inlineStr">
        <is>
          <t>247</t>
        </is>
      </c>
    </row>
    <row r="147">
      <c r="A147" s="2" t="inlineStr">
        <is>
          <t>R</t>
        </is>
      </c>
      <c r="B147" s="2" t="inlineStr">
        <is>
          <t>OAS-1C&amp;2C-NC-GE-GN-ELE-EP-1104/2104/3104</t>
        </is>
      </c>
      <c r="C147" s="2" t="inlineStr">
        <is>
          <t>G</t>
        </is>
      </c>
      <c r="D147" s="2" t="inlineStr">
        <is>
          <t>10A 2Way 3Gang lighting switch</t>
        </is>
      </c>
      <c r="E147" s="2" t="inlineStr">
        <is>
          <t>No</t>
        </is>
      </c>
      <c r="F147" s="2" t="inlineStr">
        <is>
          <t>Switches &amp; Sockets</t>
        </is>
      </c>
      <c r="G147" s="2" t="inlineStr">
        <is>
          <t>3</t>
        </is>
      </c>
      <c r="H147" s="2" t="inlineStr">
        <is>
          <t>white 2g 1w 16a switch with silver bar</t>
        </is>
      </c>
      <c r="I147" s="2" t="n">
        <v>9.210000000000001</v>
      </c>
      <c r="J147" s="2" t="n">
        <v>815</v>
      </c>
      <c r="K147" s="2">
        <f>ROUND(I147*J147,2)</f>
        <v/>
      </c>
      <c r="L147" s="2" t="inlineStr">
        <is>
          <t>HIGH</t>
        </is>
      </c>
      <c r="M147" s="2" t="inlineStr">
        <is>
          <t>247</t>
        </is>
      </c>
    </row>
    <row r="148">
      <c r="A148" s="2" t="inlineStr">
        <is>
          <t>R</t>
        </is>
      </c>
      <c r="B148" s="2" t="inlineStr">
        <is>
          <t>OAS-1C&amp;2C-NC-GE-GN-ELE-EP-1104/2104/3104</t>
        </is>
      </c>
      <c r="C148" s="2" t="inlineStr">
        <is>
          <t>H</t>
        </is>
      </c>
      <c r="D148" s="2" t="inlineStr">
        <is>
          <t>13A Switched Fused Spur Outlet</t>
        </is>
      </c>
      <c r="E148" s="2" t="inlineStr">
        <is>
          <t>No</t>
        </is>
      </c>
      <c r="F148" s="2" t="inlineStr">
        <is>
          <t>Switches &amp; Sockets</t>
        </is>
      </c>
      <c r="G148" s="2" t="inlineStr">
        <is>
          <t>4</t>
        </is>
      </c>
      <c r="H148" s="2" t="inlineStr">
        <is>
          <t>white 2g 2w 16a switch with silver bar</t>
        </is>
      </c>
      <c r="I148" s="2" t="n">
        <v>10.155</v>
      </c>
      <c r="J148" s="2" t="n">
        <v>1131</v>
      </c>
      <c r="K148" s="2">
        <f>ROUND(I148*J148,2)</f>
        <v/>
      </c>
      <c r="L148" s="2" t="inlineStr">
        <is>
          <t>MED+UNIT?</t>
        </is>
      </c>
      <c r="M148" s="2" t="inlineStr">
        <is>
          <t>247</t>
        </is>
      </c>
    </row>
    <row r="149">
      <c r="A149" s="2" t="inlineStr">
        <is>
          <t>R</t>
        </is>
      </c>
      <c r="B149" s="2" t="inlineStr">
        <is>
          <t>OAS-1C&amp;2C-NC-GE-GN-ELE-EP-1104/2104/3104</t>
        </is>
      </c>
      <c r="C149" s="2" t="inlineStr">
        <is>
          <t>H</t>
        </is>
      </c>
      <c r="D149" s="2" t="inlineStr">
        <is>
          <t>13A Switched Fused Spur Outlet</t>
        </is>
      </c>
      <c r="E149" s="2" t="inlineStr">
        <is>
          <t>No</t>
        </is>
      </c>
      <c r="F149" s="2" t="inlineStr">
        <is>
          <t>Switches &amp; Sockets</t>
        </is>
      </c>
      <c r="G149" s="2" t="inlineStr">
        <is>
          <t>4</t>
        </is>
      </c>
      <c r="H149" s="2" t="inlineStr">
        <is>
          <t>white 2g 2w 16a switch with silver bar</t>
        </is>
      </c>
      <c r="I149" s="2" t="n">
        <v>10.155</v>
      </c>
      <c r="J149" s="2" t="n">
        <v>1131</v>
      </c>
      <c r="K149" s="2">
        <f>ROUND(I149*J149,2)</f>
        <v/>
      </c>
      <c r="L149" s="2" t="inlineStr">
        <is>
          <t>MED+UNIT?</t>
        </is>
      </c>
      <c r="M149" s="2" t="inlineStr">
        <is>
          <t>247</t>
        </is>
      </c>
    </row>
    <row r="150">
      <c r="A150" s="2" t="inlineStr">
        <is>
          <t>R</t>
        </is>
      </c>
      <c r="B150" s="2" t="inlineStr">
        <is>
          <t>OAS-1C&amp;2C-NC-GE-GN-ELE-EP-1104/2104/3104</t>
        </is>
      </c>
      <c r="C150" s="2" t="inlineStr">
        <is>
          <t>J</t>
        </is>
      </c>
      <c r="D150" s="2" t="inlineStr">
        <is>
          <t>20A DP Switch with Neon Sign Indicator</t>
        </is>
      </c>
      <c r="E150" s="2" t="inlineStr">
        <is>
          <t>No</t>
        </is>
      </c>
      <c r="F150" s="2" t="inlineStr">
        <is>
          <t>Switches &amp; Sockets</t>
        </is>
      </c>
      <c r="G150" s="2" t="inlineStr">
        <is>
          <t>13</t>
        </is>
      </c>
      <c r="H150" s="2" t="inlineStr">
        <is>
          <t>45a dp switch with led with red rocker</t>
        </is>
      </c>
      <c r="I150" s="2" t="n">
        <v>18.7</v>
      </c>
      <c r="J150" s="2" t="n">
        <v>2229</v>
      </c>
      <c r="K150" s="2">
        <f>ROUND(I150*J150,2)</f>
        <v/>
      </c>
      <c r="L150" s="2" t="inlineStr">
        <is>
          <t>MED+UNIT?</t>
        </is>
      </c>
      <c r="M150" s="2" t="inlineStr">
        <is>
          <t>247</t>
        </is>
      </c>
    </row>
    <row r="151">
      <c r="A151" s="2" t="inlineStr">
        <is>
          <t>R</t>
        </is>
      </c>
      <c r="B151" s="2" t="inlineStr">
        <is>
          <t>OAS-1C&amp;2C-NC-GE-GN-ELE-EP-1104/2104/3104</t>
        </is>
      </c>
      <c r="C151" s="2" t="inlineStr">
        <is>
          <t>J</t>
        </is>
      </c>
      <c r="D151" s="2" t="inlineStr">
        <is>
          <t>20A DP Switch with Neon Sign Indicator</t>
        </is>
      </c>
      <c r="E151" s="2" t="inlineStr">
        <is>
          <t>No</t>
        </is>
      </c>
      <c r="F151" s="2" t="inlineStr">
        <is>
          <t>Switches &amp; Sockets</t>
        </is>
      </c>
      <c r="G151" s="2" t="inlineStr">
        <is>
          <t>13</t>
        </is>
      </c>
      <c r="H151" s="2" t="inlineStr">
        <is>
          <t>45a dp switch with led with red rocker</t>
        </is>
      </c>
      <c r="I151" s="2" t="n">
        <v>18.7</v>
      </c>
      <c r="J151" s="2" t="n">
        <v>2229</v>
      </c>
      <c r="K151" s="2">
        <f>ROUND(I151*J151,2)</f>
        <v/>
      </c>
      <c r="L151" s="2" t="inlineStr">
        <is>
          <t>MED+UNIT?</t>
        </is>
      </c>
      <c r="M151" s="2" t="inlineStr">
        <is>
          <t>247</t>
        </is>
      </c>
    </row>
    <row r="152">
      <c r="A152" s="2" t="inlineStr">
        <is>
          <t>R</t>
        </is>
      </c>
      <c r="B152" s="2" t="inlineStr">
        <is>
          <t>OAS-1C&amp;2C-NC-GE-GN-ELE-EP-1104/2104/3104</t>
        </is>
      </c>
      <c r="C152" s="2" t="inlineStr">
        <is>
          <t>J</t>
        </is>
      </c>
      <c r="D152" s="2" t="inlineStr">
        <is>
          <t>10A 1Way 1Gang lighting switch</t>
        </is>
      </c>
      <c r="E152" s="2" t="inlineStr">
        <is>
          <t>No</t>
        </is>
      </c>
      <c r="F152" s="2" t="inlineStr">
        <is>
          <t>Switches &amp; Sockets</t>
        </is>
      </c>
      <c r="G152" s="2" t="inlineStr">
        <is>
          <t>1</t>
        </is>
      </c>
      <c r="H152" s="2" t="inlineStr">
        <is>
          <t>white 1g 1w 16a switch with silver bar</t>
        </is>
      </c>
      <c r="I152" s="2" t="n">
        <v>6.37</v>
      </c>
      <c r="J152" s="2" t="n">
        <v>3032</v>
      </c>
      <c r="K152" s="2">
        <f>ROUND(I152*J152,2)</f>
        <v/>
      </c>
      <c r="L152" s="2" t="inlineStr">
        <is>
          <t>HIGH</t>
        </is>
      </c>
      <c r="M152" s="2" t="inlineStr">
        <is>
          <t>247</t>
        </is>
      </c>
    </row>
    <row r="153">
      <c r="A153" s="2" t="inlineStr">
        <is>
          <t>R</t>
        </is>
      </c>
      <c r="B153" s="2" t="inlineStr">
        <is>
          <t>OAS-1C&amp;2C-NC-GE-GN-ELE-EP-1104/2104/3104</t>
        </is>
      </c>
      <c r="C153" s="2" t="inlineStr">
        <is>
          <t>J</t>
        </is>
      </c>
      <c r="D153" s="2" t="inlineStr">
        <is>
          <t>13A Override switch</t>
        </is>
      </c>
      <c r="E153" s="2" t="inlineStr">
        <is>
          <t>No</t>
        </is>
      </c>
      <c r="F153" s="2" t="inlineStr">
        <is>
          <t>Switches &amp; Sockets</t>
        </is>
      </c>
      <c r="G153" s="2" t="inlineStr">
        <is>
          <t>4</t>
        </is>
      </c>
      <c r="H153" s="2" t="inlineStr">
        <is>
          <t>white 2g 2w 16a switch with silver bar</t>
        </is>
      </c>
      <c r="I153" s="2" t="n">
        <v>10.155</v>
      </c>
      <c r="J153" s="2" t="n">
        <v>6</v>
      </c>
      <c r="K153" s="2">
        <f>ROUND(I153*J153,2)</f>
        <v/>
      </c>
      <c r="L153" s="2" t="inlineStr">
        <is>
          <t>MED+UNIT?</t>
        </is>
      </c>
      <c r="M153" s="2" t="inlineStr">
        <is>
          <t>247</t>
        </is>
      </c>
    </row>
    <row r="154">
      <c r="A154" s="2" t="inlineStr">
        <is>
          <t>R</t>
        </is>
      </c>
      <c r="B154" s="2" t="inlineStr">
        <is>
          <t>OAS-1C&amp;2C-NC-GE-GN-ELE-EP-1104/2104/3104</t>
        </is>
      </c>
      <c r="C154" s="2" t="inlineStr">
        <is>
          <t>K</t>
        </is>
      </c>
      <c r="D154" s="2" t="inlineStr">
        <is>
          <t>10A 1Way 1Gang lighting switch, W/P</t>
        </is>
      </c>
      <c r="E154" s="2" t="inlineStr">
        <is>
          <t>No</t>
        </is>
      </c>
      <c r="F154" s="2" t="inlineStr">
        <is>
          <t>Switches &amp; Sockets</t>
        </is>
      </c>
      <c r="G154" s="2" t="inlineStr">
        <is>
          <t>1</t>
        </is>
      </c>
      <c r="H154" s="2" t="inlineStr">
        <is>
          <t>white 1g 1w 16a switch with silver bar</t>
        </is>
      </c>
      <c r="I154" s="2" t="n">
        <v>6.37</v>
      </c>
      <c r="J154" s="2" t="n">
        <v>77</v>
      </c>
      <c r="K154" s="2">
        <f>ROUND(I154*J154,2)</f>
        <v/>
      </c>
      <c r="L154" s="2" t="inlineStr">
        <is>
          <t>HIGH</t>
        </is>
      </c>
      <c r="M154" s="2" t="inlineStr">
        <is>
          <t>247</t>
        </is>
      </c>
    </row>
    <row r="155">
      <c r="A155" s="2" t="inlineStr">
        <is>
          <t>R</t>
        </is>
      </c>
      <c r="B155" s="2" t="inlineStr">
        <is>
          <t>OAS-1C&amp;2C-NC-GE-GN-ELE-EP-1104/2104/3104</t>
        </is>
      </c>
      <c r="C155" s="2" t="inlineStr">
        <is>
          <t>K</t>
        </is>
      </c>
      <c r="D155" s="2" t="inlineStr">
        <is>
          <t>13A 1Way 1Gang microswitch</t>
        </is>
      </c>
      <c r="E155" s="2" t="inlineStr">
        <is>
          <t>No</t>
        </is>
      </c>
      <c r="F155" s="2" t="inlineStr">
        <is>
          <t>Switches &amp; Sockets</t>
        </is>
      </c>
      <c r="G155" s="2" t="inlineStr">
        <is>
          <t>1</t>
        </is>
      </c>
      <c r="H155" s="2" t="inlineStr">
        <is>
          <t>white 1g 1w 16a switch with silver bar</t>
        </is>
      </c>
      <c r="I155" s="2" t="n">
        <v>6.37</v>
      </c>
      <c r="J155" s="2" t="n">
        <v>1</v>
      </c>
      <c r="K155" s="2">
        <f>ROUND(I155*J155,2)</f>
        <v/>
      </c>
      <c r="L155" s="2" t="inlineStr">
        <is>
          <t>HIGH</t>
        </is>
      </c>
      <c r="M155" s="2" t="inlineStr">
        <is>
          <t>247</t>
        </is>
      </c>
    </row>
    <row r="156">
      <c r="A156" s="2" t="inlineStr">
        <is>
          <t>R</t>
        </is>
      </c>
      <c r="B156" s="2" t="inlineStr">
        <is>
          <t>OAS-1C&amp;2C-NC-GE-GN-ELE-EP-1104/2104/3104</t>
        </is>
      </c>
      <c r="C156" s="2" t="inlineStr">
        <is>
          <t>L</t>
        </is>
      </c>
      <c r="D156" s="2" t="inlineStr">
        <is>
          <t>13A Switched Spur Outlet with Neon Sign Indicator for A/C Unit</t>
        </is>
      </c>
      <c r="E156" s="2" t="inlineStr">
        <is>
          <t>No</t>
        </is>
      </c>
      <c r="F156" s="2" t="inlineStr">
        <is>
          <t>Switches &amp; Sockets</t>
        </is>
      </c>
      <c r="G156" s="2" t="inlineStr">
        <is>
          <t>4</t>
        </is>
      </c>
      <c r="H156" s="2" t="inlineStr">
        <is>
          <t>white 2g 2w 16a switch with silver bar</t>
        </is>
      </c>
      <c r="I156" s="2" t="n">
        <v>10.155</v>
      </c>
      <c r="J156" s="2" t="n">
        <v>2720</v>
      </c>
      <c r="K156" s="2">
        <f>ROUND(I156*J156,2)</f>
        <v/>
      </c>
      <c r="L156" s="2" t="inlineStr">
        <is>
          <t>MED+UNIT?</t>
        </is>
      </c>
      <c r="M156" s="2" t="inlineStr">
        <is>
          <t>247</t>
        </is>
      </c>
    </row>
    <row r="157">
      <c r="A157" s="2" t="inlineStr">
        <is>
          <t>R</t>
        </is>
      </c>
      <c r="B157" s="2" t="inlineStr">
        <is>
          <t>OAS-1C&amp;2C-NC-GE-GN-ELE-EP-1104/2104/3104</t>
        </is>
      </c>
      <c r="C157" s="2" t="inlineStr">
        <is>
          <t>L</t>
        </is>
      </c>
      <c r="D157" s="2" t="inlineStr">
        <is>
          <t>13A Switched Spur Outlet with Neon Sign Indicator for A/C Unit</t>
        </is>
      </c>
      <c r="E157" s="2" t="inlineStr">
        <is>
          <t>No</t>
        </is>
      </c>
      <c r="F157" s="2" t="inlineStr">
        <is>
          <t>Switches &amp; Sockets</t>
        </is>
      </c>
      <c r="G157" s="2" t="inlineStr">
        <is>
          <t>4</t>
        </is>
      </c>
      <c r="H157" s="2" t="inlineStr">
        <is>
          <t>white 2g 2w 16a switch with silver bar</t>
        </is>
      </c>
      <c r="I157" s="2" t="n">
        <v>10.155</v>
      </c>
      <c r="J157" s="2" t="n">
        <v>2720</v>
      </c>
      <c r="K157" s="2">
        <f>ROUND(I157*J157,2)</f>
        <v/>
      </c>
      <c r="L157" s="2" t="inlineStr">
        <is>
          <t>MED+UNIT?</t>
        </is>
      </c>
      <c r="M157" s="2" t="inlineStr">
        <is>
          <t>247</t>
        </is>
      </c>
    </row>
    <row r="158">
      <c r="A158" s="2" t="inlineStr">
        <is>
          <t>R</t>
        </is>
      </c>
      <c r="B158" s="2" t="inlineStr">
        <is>
          <t>OAS-1C&amp;2C-NC-GE-GN-ELE-EP-1104/2104/3104</t>
        </is>
      </c>
      <c r="C158" s="2" t="inlineStr">
        <is>
          <t>L</t>
        </is>
      </c>
      <c r="D158" s="2" t="inlineStr">
        <is>
          <t>10A 1Way 2Gang lighting switch</t>
        </is>
      </c>
      <c r="E158" s="2" t="inlineStr">
        <is>
          <t>No</t>
        </is>
      </c>
      <c r="F158" s="2" t="inlineStr">
        <is>
          <t>Switches &amp; Sockets</t>
        </is>
      </c>
      <c r="G158" s="2" t="inlineStr">
        <is>
          <t>1</t>
        </is>
      </c>
      <c r="H158" s="2" t="inlineStr">
        <is>
          <t>white 1g 1w 16a switch with silver bar</t>
        </is>
      </c>
      <c r="I158" s="2" t="n">
        <v>6.37</v>
      </c>
      <c r="J158" s="2" t="n">
        <v>5366</v>
      </c>
      <c r="K158" s="2">
        <f>ROUND(I158*J158,2)</f>
        <v/>
      </c>
      <c r="L158" s="2" t="inlineStr">
        <is>
          <t>HIGH</t>
        </is>
      </c>
      <c r="M158" s="2" t="inlineStr">
        <is>
          <t>247</t>
        </is>
      </c>
    </row>
    <row r="159">
      <c r="A159" s="2" t="inlineStr">
        <is>
          <t>R</t>
        </is>
      </c>
      <c r="B159" s="2" t="inlineStr">
        <is>
          <t>OAS-1C&amp;2C-NC-GE-GN-ELE-EP-1104/2104/3104</t>
        </is>
      </c>
      <c r="C159" s="2" t="inlineStr">
        <is>
          <t>L</t>
        </is>
      </c>
      <c r="D159" s="2" t="inlineStr">
        <is>
          <t>Photocell sensor + timer + override switch - for external lighting</t>
        </is>
      </c>
      <c r="E159" s="2" t="inlineStr">
        <is>
          <t>No</t>
        </is>
      </c>
      <c r="F159" s="2" t="inlineStr">
        <is>
          <t>Switches &amp; Sockets</t>
        </is>
      </c>
      <c r="G159" s="2" t="inlineStr">
        <is>
          <t>4</t>
        </is>
      </c>
      <c r="H159" s="2" t="inlineStr">
        <is>
          <t>white 2g 2w 16a switch with silver bar</t>
        </is>
      </c>
      <c r="I159" s="2" t="n">
        <v>10.155</v>
      </c>
      <c r="J159" s="2" t="n">
        <v>3</v>
      </c>
      <c r="K159" s="2">
        <f>ROUND(I159*J159,2)</f>
        <v/>
      </c>
      <c r="L159" s="2" t="inlineStr">
        <is>
          <t>MED+UNIT?</t>
        </is>
      </c>
      <c r="M159" s="2" t="inlineStr">
        <is>
          <t>247</t>
        </is>
      </c>
    </row>
    <row r="160">
      <c r="A160" s="2" t="inlineStr">
        <is>
          <t>R</t>
        </is>
      </c>
      <c r="B160" s="2" t="inlineStr">
        <is>
          <t>OAS-1C&amp;2C-NC-GE-GN-ELE-EP-1104/2104/3104</t>
        </is>
      </c>
      <c r="C160" s="2" t="inlineStr">
        <is>
          <t>M</t>
        </is>
      </c>
      <c r="D160" s="2" t="inlineStr">
        <is>
          <t>10A 2Way 1Gang lighting switch</t>
        </is>
      </c>
      <c r="E160" s="2" t="inlineStr">
        <is>
          <t>No</t>
        </is>
      </c>
      <c r="F160" s="2" t="inlineStr">
        <is>
          <t>Switches &amp; Sockets</t>
        </is>
      </c>
      <c r="G160" s="2" t="inlineStr">
        <is>
          <t>3</t>
        </is>
      </c>
      <c r="H160" s="2" t="inlineStr">
        <is>
          <t>white 2g 1w 16a switch with silver bar</t>
        </is>
      </c>
      <c r="I160" s="2" t="n">
        <v>9.210000000000001</v>
      </c>
      <c r="J160" s="2" t="n">
        <v>2667</v>
      </c>
      <c r="K160" s="2">
        <f>ROUND(I160*J160,2)</f>
        <v/>
      </c>
      <c r="L160" s="2" t="inlineStr">
        <is>
          <t>HIGH</t>
        </is>
      </c>
      <c r="M160" s="2" t="inlineStr">
        <is>
          <t>247</t>
        </is>
      </c>
    </row>
    <row r="161">
      <c r="A161" s="2" t="inlineStr">
        <is>
          <t>R</t>
        </is>
      </c>
      <c r="B161" s="2" t="inlineStr">
        <is>
          <t>OAS-1C&amp;2C-NC-GE-GN-ELE-EP-1104/2104/3104</t>
        </is>
      </c>
      <c r="C161" s="2" t="inlineStr">
        <is>
          <t>N</t>
        </is>
      </c>
      <c r="D161" s="2" t="inlineStr">
        <is>
          <t>Floor Box (13A Single Socket)</t>
        </is>
      </c>
      <c r="E161" s="2" t="inlineStr">
        <is>
          <t>No</t>
        </is>
      </c>
      <c r="F161" s="2" t="inlineStr">
        <is>
          <t>Switches &amp; Sockets</t>
        </is>
      </c>
      <c r="G161" s="2" t="inlineStr">
        <is>
          <t>7</t>
        </is>
      </c>
      <c r="H161" s="2" t="inlineStr">
        <is>
          <t>1g bs 13a dp socket + switch</t>
        </is>
      </c>
      <c r="I161" s="2" t="n">
        <v>10.45</v>
      </c>
      <c r="J161" s="2" t="n">
        <v>8</v>
      </c>
      <c r="K161" s="2">
        <f>ROUND(I161*J161,2)</f>
        <v/>
      </c>
      <c r="L161" s="2" t="inlineStr">
        <is>
          <t>MED+UNIT?</t>
        </is>
      </c>
      <c r="M161" s="2" t="inlineStr">
        <is>
          <t>247</t>
        </is>
      </c>
    </row>
    <row r="162">
      <c r="A162" s="2" t="inlineStr">
        <is>
          <t>R</t>
        </is>
      </c>
      <c r="B162" s="2" t="inlineStr">
        <is>
          <t>OAS-1C&amp;2C-NC-GE-GN-ELE-EP-1104/2104/3104</t>
        </is>
      </c>
      <c r="C162" s="2" t="inlineStr">
        <is>
          <t>N</t>
        </is>
      </c>
      <c r="D162" s="2" t="inlineStr">
        <is>
          <t>Floor Box (13A Single Socket)</t>
        </is>
      </c>
      <c r="E162" s="2" t="inlineStr">
        <is>
          <t>No</t>
        </is>
      </c>
      <c r="F162" s="2" t="inlineStr">
        <is>
          <t>Switches &amp; Sockets</t>
        </is>
      </c>
      <c r="G162" s="2" t="inlineStr">
        <is>
          <t>7</t>
        </is>
      </c>
      <c r="H162" s="2" t="inlineStr">
        <is>
          <t>1g bs 13a dp socket + switch</t>
        </is>
      </c>
      <c r="I162" s="2" t="n">
        <v>10.45</v>
      </c>
      <c r="J162" s="2" t="n">
        <v>8</v>
      </c>
      <c r="K162" s="2">
        <f>ROUND(I162*J162,2)</f>
        <v/>
      </c>
      <c r="L162" s="2" t="inlineStr">
        <is>
          <t>MED+UNIT?</t>
        </is>
      </c>
      <c r="M162" s="2" t="inlineStr">
        <is>
          <t>247</t>
        </is>
      </c>
    </row>
    <row r="163">
      <c r="A163" s="2" t="inlineStr">
        <is>
          <t>R</t>
        </is>
      </c>
      <c r="B163" s="2" t="inlineStr">
        <is>
          <t>OAS-1C&amp;2C-NC-GE-GN-ELE-EP-1104/2104/3104</t>
        </is>
      </c>
      <c r="C163" s="2" t="inlineStr">
        <is>
          <t>N</t>
        </is>
      </c>
      <c r="D163" s="2" t="inlineStr">
        <is>
          <t>10A 2Way 2Gang lighting switch</t>
        </is>
      </c>
      <c r="E163" s="2" t="inlineStr">
        <is>
          <t>No</t>
        </is>
      </c>
      <c r="F163" s="2" t="inlineStr">
        <is>
          <t>Switches &amp; Sockets</t>
        </is>
      </c>
      <c r="G163" s="2" t="inlineStr">
        <is>
          <t>3</t>
        </is>
      </c>
      <c r="H163" s="2" t="inlineStr">
        <is>
          <t>white 2g 1w 16a switch with silver bar</t>
        </is>
      </c>
      <c r="I163" s="2" t="n">
        <v>9.210000000000001</v>
      </c>
      <c r="J163" s="2" t="n">
        <v>1794</v>
      </c>
      <c r="K163" s="2">
        <f>ROUND(I163*J163,2)</f>
        <v/>
      </c>
      <c r="L163" s="2" t="inlineStr">
        <is>
          <t>HIGH</t>
        </is>
      </c>
      <c r="M163" s="2" t="inlineStr">
        <is>
          <t>247</t>
        </is>
      </c>
    </row>
    <row r="164">
      <c r="A164" s="2" t="inlineStr">
        <is>
          <t>R</t>
        </is>
      </c>
      <c r="B164" s="2" t="inlineStr">
        <is>
          <t>OAS-1C&amp;2C-NC-GE-GN-ELE-EP-1104/2104/3104</t>
        </is>
      </c>
      <c r="C164" s="2" t="inlineStr">
        <is>
          <t>P</t>
        </is>
      </c>
      <c r="D164" s="2" t="inlineStr">
        <is>
          <t>10A 1Way 3Gang lighting switch</t>
        </is>
      </c>
      <c r="E164" s="2" t="inlineStr">
        <is>
          <t>No</t>
        </is>
      </c>
      <c r="F164" s="2" t="inlineStr">
        <is>
          <t>Switches &amp; Sockets</t>
        </is>
      </c>
      <c r="G164" s="2" t="inlineStr">
        <is>
          <t>1</t>
        </is>
      </c>
      <c r="H164" s="2" t="inlineStr">
        <is>
          <t>white 1g 1w 16a switch with silver bar</t>
        </is>
      </c>
      <c r="I164" s="2" t="n">
        <v>6.37</v>
      </c>
      <c r="J164" s="2" t="n">
        <v>75</v>
      </c>
      <c r="K164" s="2">
        <f>ROUND(I164*J164,2)</f>
        <v/>
      </c>
      <c r="L164" s="2" t="inlineStr">
        <is>
          <t>HIGH</t>
        </is>
      </c>
      <c r="M164" s="2" t="inlineStr">
        <is>
          <t>247</t>
        </is>
      </c>
    </row>
    <row r="165">
      <c r="A165" s="2" t="inlineStr">
        <is>
          <t>R</t>
        </is>
      </c>
      <c r="B165" s="2" t="inlineStr">
        <is>
          <t>OAS-1C&amp;2C-NC-GE-GN-ELE-EP-1104/2104/3104</t>
        </is>
      </c>
      <c r="C165" s="2" t="inlineStr">
        <is>
          <t>Q</t>
        </is>
      </c>
      <c r="D165" s="2" t="inlineStr">
        <is>
          <t>10A 2Way 3Gang lighting switch</t>
        </is>
      </c>
      <c r="E165" s="2" t="inlineStr">
        <is>
          <t>No</t>
        </is>
      </c>
      <c r="F165" s="2" t="inlineStr">
        <is>
          <t>Switches &amp; Sockets</t>
        </is>
      </c>
      <c r="G165" s="2" t="inlineStr">
        <is>
          <t>3</t>
        </is>
      </c>
      <c r="H165" s="2" t="inlineStr">
        <is>
          <t>white 2g 1w 16a switch with silver bar</t>
        </is>
      </c>
      <c r="I165" s="2" t="n">
        <v>9.210000000000001</v>
      </c>
      <c r="J165" s="2" t="n">
        <v>815</v>
      </c>
      <c r="K165" s="2">
        <f>ROUND(I165*J165,2)</f>
        <v/>
      </c>
      <c r="L165" s="2" t="inlineStr">
        <is>
          <t>HIGH</t>
        </is>
      </c>
      <c r="M165" s="2" t="inlineStr">
        <is>
          <t>247</t>
        </is>
      </c>
    </row>
    <row r="166">
      <c r="A166" s="2" t="inlineStr">
        <is>
          <t>R</t>
        </is>
      </c>
      <c r="B166" s="2" t="inlineStr">
        <is>
          <t>OAS-1C&amp;2C-NC-GE-GN-ELE-EP-1104/2104/3104</t>
        </is>
      </c>
      <c r="C166" s="2" t="inlineStr">
        <is>
          <t>S</t>
        </is>
      </c>
      <c r="D166" s="2" t="inlineStr">
        <is>
          <t>13A Override switch</t>
        </is>
      </c>
      <c r="E166" s="2" t="inlineStr">
        <is>
          <t>No</t>
        </is>
      </c>
      <c r="F166" s="2" t="inlineStr">
        <is>
          <t>Switches &amp; Sockets</t>
        </is>
      </c>
      <c r="G166" s="2" t="inlineStr">
        <is>
          <t>4</t>
        </is>
      </c>
      <c r="H166" s="2" t="inlineStr">
        <is>
          <t>white 2g 2w 16a switch with silver bar</t>
        </is>
      </c>
      <c r="I166" s="2" t="n">
        <v>10.155</v>
      </c>
      <c r="J166" s="2" t="n">
        <v>6</v>
      </c>
      <c r="K166" s="2">
        <f>ROUND(I166*J166,2)</f>
        <v/>
      </c>
      <c r="L166" s="2" t="inlineStr">
        <is>
          <t>MED+UNIT?</t>
        </is>
      </c>
      <c r="M166" s="2" t="inlineStr">
        <is>
          <t>247</t>
        </is>
      </c>
    </row>
    <row r="167">
      <c r="A167" s="2" t="inlineStr">
        <is>
          <t>R</t>
        </is>
      </c>
      <c r="B167" s="2" t="inlineStr">
        <is>
          <t>OAS-1C&amp;2C-NC-GE-GN-ELE-EP-1104/2104/3104</t>
        </is>
      </c>
      <c r="C167" s="2" t="inlineStr">
        <is>
          <t>T</t>
        </is>
      </c>
      <c r="D167" s="2" t="inlineStr">
        <is>
          <t>13A 1Way 1Gang microswitch</t>
        </is>
      </c>
      <c r="E167" s="2" t="inlineStr">
        <is>
          <t>No</t>
        </is>
      </c>
      <c r="F167" s="2" t="inlineStr">
        <is>
          <t>Switches &amp; Sockets</t>
        </is>
      </c>
      <c r="G167" s="2" t="inlineStr">
        <is>
          <t>1</t>
        </is>
      </c>
      <c r="H167" s="2" t="inlineStr">
        <is>
          <t>white 1g 1w 16a switch with silver bar</t>
        </is>
      </c>
      <c r="I167" s="2" t="n">
        <v>6.37</v>
      </c>
      <c r="J167" s="2" t="n">
        <v>1</v>
      </c>
      <c r="K167" s="2">
        <f>ROUND(I167*J167,2)</f>
        <v/>
      </c>
      <c r="L167" s="2" t="inlineStr">
        <is>
          <t>HIGH</t>
        </is>
      </c>
      <c r="M167" s="2" t="inlineStr">
        <is>
          <t>247</t>
        </is>
      </c>
    </row>
    <row r="168">
      <c r="A168" s="2" t="inlineStr">
        <is>
          <t>R</t>
        </is>
      </c>
      <c r="B168" s="2" t="inlineStr">
        <is>
          <t>OAS-1C&amp;2C-NC-GE-GN-ELE-EP-1104/2104/3104</t>
        </is>
      </c>
      <c r="C168" s="2" t="inlineStr">
        <is>
          <t>U</t>
        </is>
      </c>
      <c r="D168" s="2" t="inlineStr">
        <is>
          <t>Photocell sensor + timer + override switch - for external lighting</t>
        </is>
      </c>
      <c r="E168" s="2" t="inlineStr">
        <is>
          <t>No</t>
        </is>
      </c>
      <c r="F168" s="2" t="inlineStr">
        <is>
          <t>Switches &amp; Sockets</t>
        </is>
      </c>
      <c r="G168" s="2" t="inlineStr">
        <is>
          <t>4</t>
        </is>
      </c>
      <c r="H168" s="2" t="inlineStr">
        <is>
          <t>white 2g 2w 16a switch with silver bar</t>
        </is>
      </c>
      <c r="I168" s="2" t="n">
        <v>10.155</v>
      </c>
      <c r="J168" s="2" t="n">
        <v>3</v>
      </c>
      <c r="K168" s="2">
        <f>ROUND(I168*J168,2)</f>
        <v/>
      </c>
      <c r="L168" s="2" t="inlineStr">
        <is>
          <t>MED+UNIT?</t>
        </is>
      </c>
      <c r="M168" s="2" t="inlineStr">
        <is>
          <t>247</t>
        </is>
      </c>
    </row>
    <row r="169">
      <c r="A169" s="2" t="inlineStr">
        <is>
          <t>Q</t>
        </is>
      </c>
      <c r="B169" s="2" t="inlineStr">
        <is>
          <t>DRAINAGE SYSTEM</t>
        </is>
      </c>
      <c r="C169" s="2" t="inlineStr">
        <is>
          <t>A</t>
        </is>
      </c>
      <c r="D169" s="2" t="inlineStr">
        <is>
          <t>SW-100, Wash Basin Mixer</t>
        </is>
      </c>
      <c r="E169" s="2" t="inlineStr">
        <is>
          <t>No</t>
        </is>
      </c>
      <c r="F169" s="2" t="inlineStr">
        <is>
          <t>Undercounter Sink &amp; Mixer</t>
        </is>
      </c>
      <c r="G169" s="2" t="inlineStr">
        <is>
          <t>S-06</t>
        </is>
      </c>
      <c r="H169" s="2" t="inlineStr">
        <is>
          <t>under counter sink</t>
        </is>
      </c>
      <c r="I169" s="2" t="n">
        <v>140</v>
      </c>
      <c r="J169" s="2" t="n">
        <v>2157</v>
      </c>
      <c r="K169" s="2">
        <f>ROUND(I169*J169,2)</f>
        <v/>
      </c>
      <c r="L169" s="2" t="inlineStr">
        <is>
          <t>MED+UNIT?</t>
        </is>
      </c>
      <c r="M169" s="2" t="inlineStr">
        <is>
          <t>250</t>
        </is>
      </c>
    </row>
    <row r="170">
      <c r="A170" s="2" t="inlineStr">
        <is>
          <t>Q</t>
        </is>
      </c>
      <c r="B170" s="2" t="inlineStr">
        <is>
          <t>DRAINAGE SYSTEM</t>
        </is>
      </c>
      <c r="C170" s="2" t="inlineStr">
        <is>
          <t>A</t>
        </is>
      </c>
      <c r="D170" s="2" t="inlineStr">
        <is>
          <t>KW-100, Sink Mixer</t>
        </is>
      </c>
      <c r="E170" s="2" t="inlineStr">
        <is>
          <t>No</t>
        </is>
      </c>
      <c r="F170" s="2" t="inlineStr">
        <is>
          <t>Undercounter Sink &amp; Mixer</t>
        </is>
      </c>
      <c r="G170" s="2" t="inlineStr">
        <is>
          <t>S-07</t>
        </is>
      </c>
      <c r="H170" s="2" t="inlineStr">
        <is>
          <t>counter mounted tap</t>
        </is>
      </c>
      <c r="I170" s="2" t="n">
        <v>286</v>
      </c>
      <c r="J170" s="2" t="n">
        <v>547</v>
      </c>
      <c r="K170" s="2">
        <f>ROUND(I170*J170,2)</f>
        <v/>
      </c>
      <c r="L170" s="2" t="inlineStr">
        <is>
          <t>MED+UNIT?</t>
        </is>
      </c>
      <c r="M170" s="2" t="inlineStr">
        <is>
          <t>250</t>
        </is>
      </c>
    </row>
    <row r="171">
      <c r="A171" s="2" t="inlineStr">
        <is>
          <t>Q</t>
        </is>
      </c>
      <c r="B171" s="2" t="inlineStr">
        <is>
          <t>DRAINAGE SYSTEM</t>
        </is>
      </c>
      <c r="C171" s="2" t="inlineStr">
        <is>
          <t>A</t>
        </is>
      </c>
      <c r="D171" s="2" t="inlineStr">
        <is>
          <t>SW-101, Wash Basin (Wall Mounted w/ Half Pedestal)</t>
        </is>
      </c>
      <c r="E171" s="2" t="inlineStr">
        <is>
          <t>No</t>
        </is>
      </c>
      <c r="F171" s="2" t="inlineStr">
        <is>
          <t>Undercounter Sink &amp; Mixer</t>
        </is>
      </c>
      <c r="G171" s="2" t="inlineStr">
        <is>
          <t>S-06</t>
        </is>
      </c>
      <c r="H171" s="2" t="inlineStr">
        <is>
          <t>under counter sink</t>
        </is>
      </c>
      <c r="I171" s="2" t="n">
        <v>140</v>
      </c>
      <c r="J171" s="2" t="n">
        <v>2</v>
      </c>
      <c r="K171" s="2">
        <f>ROUND(I171*J171,2)</f>
        <v/>
      </c>
      <c r="L171" s="2" t="inlineStr">
        <is>
          <t>MED+UNIT?</t>
        </is>
      </c>
      <c r="M171" s="2" t="inlineStr">
        <is>
          <t>250</t>
        </is>
      </c>
    </row>
    <row r="172">
      <c r="A172" s="2" t="inlineStr">
        <is>
          <t>Q</t>
        </is>
      </c>
      <c r="B172" s="2" t="inlineStr">
        <is>
          <t>DRAINAGE SYSTEM</t>
        </is>
      </c>
      <c r="C172" s="2" t="inlineStr">
        <is>
          <t>B</t>
        </is>
      </c>
      <c r="D172" s="2" t="inlineStr">
        <is>
          <t>SW-101, Wash Basin Mixer</t>
        </is>
      </c>
      <c r="E172" s="2" t="inlineStr">
        <is>
          <t>No</t>
        </is>
      </c>
      <c r="F172" s="2" t="inlineStr">
        <is>
          <t>Undercounter Sink &amp; Mixer</t>
        </is>
      </c>
      <c r="G172" s="2" t="inlineStr">
        <is>
          <t>S-06</t>
        </is>
      </c>
      <c r="H172" s="2" t="inlineStr">
        <is>
          <t>under counter sink</t>
        </is>
      </c>
      <c r="I172" s="2" t="n">
        <v>140</v>
      </c>
      <c r="J172" s="2" t="n">
        <v>547</v>
      </c>
      <c r="K172" s="2">
        <f>ROUND(I172*J172,2)</f>
        <v/>
      </c>
      <c r="L172" s="2" t="inlineStr">
        <is>
          <t>MED+UNIT?</t>
        </is>
      </c>
      <c r="M172" s="2" t="inlineStr">
        <is>
          <t>250</t>
        </is>
      </c>
    </row>
    <row r="173">
      <c r="A173" s="2" t="inlineStr">
        <is>
          <t>Q</t>
        </is>
      </c>
      <c r="B173" s="2" t="inlineStr">
        <is>
          <t>DRAINAGE SYSTEM</t>
        </is>
      </c>
      <c r="C173" s="2" t="inlineStr">
        <is>
          <t>B</t>
        </is>
      </c>
      <c r="D173" s="2" t="inlineStr">
        <is>
          <t>KW-101, Double Bowl Sink</t>
        </is>
      </c>
      <c r="E173" s="2" t="inlineStr">
        <is>
          <t>No</t>
        </is>
      </c>
      <c r="F173" s="2" t="inlineStr">
        <is>
          <t>Undercounter Sink &amp; Mixer</t>
        </is>
      </c>
      <c r="G173" s="2" t="inlineStr">
        <is>
          <t>S-06</t>
        </is>
      </c>
      <c r="H173" s="2" t="inlineStr">
        <is>
          <t>under counter sink</t>
        </is>
      </c>
      <c r="I173" s="2" t="n">
        <v>140</v>
      </c>
      <c r="J173" s="2" t="n">
        <v>547</v>
      </c>
      <c r="K173" s="2">
        <f>ROUND(I173*J173,2)</f>
        <v/>
      </c>
      <c r="L173" s="2" t="inlineStr">
        <is>
          <t>MED+UNIT?</t>
        </is>
      </c>
      <c r="M173" s="2" t="inlineStr">
        <is>
          <t>250</t>
        </is>
      </c>
    </row>
    <row r="174">
      <c r="A174" s="2" t="inlineStr">
        <is>
          <t>Q</t>
        </is>
      </c>
      <c r="B174" s="2" t="inlineStr">
        <is>
          <t>DRAINAGE SYSTEM</t>
        </is>
      </c>
      <c r="C174" s="2" t="inlineStr">
        <is>
          <t>C</t>
        </is>
      </c>
      <c r="D174" s="2" t="inlineStr">
        <is>
          <t>SW-103, Wash Basin Mixer (Single Lever)</t>
        </is>
      </c>
      <c r="E174" s="2" t="inlineStr">
        <is>
          <t>No</t>
        </is>
      </c>
      <c r="F174" s="2" t="inlineStr">
        <is>
          <t>Undercounter Sink &amp; Mixer</t>
        </is>
      </c>
      <c r="G174" s="2" t="inlineStr">
        <is>
          <t>S-06</t>
        </is>
      </c>
      <c r="H174" s="2" t="inlineStr">
        <is>
          <t>under counter sink</t>
        </is>
      </c>
      <c r="I174" s="2" t="n">
        <v>140</v>
      </c>
      <c r="J174" s="2" t="n">
        <v>2</v>
      </c>
      <c r="K174" s="2">
        <f>ROUND(I174*J174,2)</f>
        <v/>
      </c>
      <c r="L174" s="2" t="inlineStr">
        <is>
          <t>MED+UNIT?</t>
        </is>
      </c>
      <c r="M174" s="2" t="inlineStr">
        <is>
          <t>250</t>
        </is>
      </c>
    </row>
    <row r="175">
      <c r="A175" s="2" t="inlineStr">
        <is>
          <t>Q</t>
        </is>
      </c>
      <c r="B175" s="2" t="inlineStr">
        <is>
          <t>DRAINAGE SYSTEM</t>
        </is>
      </c>
      <c r="C175" s="2" t="inlineStr">
        <is>
          <t>E</t>
        </is>
      </c>
      <c r="D175" s="2" t="inlineStr">
        <is>
          <t>Floor Drain, (Ref. FD)</t>
        </is>
      </c>
      <c r="E175" s="2" t="inlineStr">
        <is>
          <t>No</t>
        </is>
      </c>
      <c r="F175" s="2" t="inlineStr">
        <is>
          <t>Undercounter Sink &amp; Mixer</t>
        </is>
      </c>
      <c r="G175" s="2" t="inlineStr">
        <is>
          <t>S-21</t>
        </is>
      </c>
      <c r="H175" s="2" t="inlineStr">
        <is>
          <t>square floor drain</t>
        </is>
      </c>
      <c r="I175" s="2" t="n">
        <v>128.5</v>
      </c>
      <c r="J175" s="2" t="n">
        <v>3814</v>
      </c>
      <c r="K175" s="2">
        <f>ROUND(I175*J175,2)</f>
        <v/>
      </c>
      <c r="L175" s="2" t="inlineStr">
        <is>
          <t>MED+UNIT?</t>
        </is>
      </c>
      <c r="M175" s="2" t="inlineStr">
        <is>
          <t>251</t>
        </is>
      </c>
    </row>
    <row r="176">
      <c r="A176" s="2" t="inlineStr">
        <is>
          <t>Q</t>
        </is>
      </c>
      <c r="B176" s="2" t="inlineStr">
        <is>
          <t>DRAINAGE SYSTEM</t>
        </is>
      </c>
      <c r="C176" s="2" t="inlineStr">
        <is>
          <t>E</t>
        </is>
      </c>
      <c r="D176" s="2" t="inlineStr">
        <is>
          <t>KE-101, Sink Mixer</t>
        </is>
      </c>
      <c r="E176" s="2" t="inlineStr">
        <is>
          <t>No</t>
        </is>
      </c>
      <c r="F176" s="2" t="inlineStr">
        <is>
          <t>Undercounter Sink &amp; Mixer</t>
        </is>
      </c>
      <c r="G176" s="2" t="inlineStr">
        <is>
          <t>S-07</t>
        </is>
      </c>
      <c r="H176" s="2" t="inlineStr">
        <is>
          <t>counter mounted tap</t>
        </is>
      </c>
      <c r="I176" s="2" t="n">
        <v>286</v>
      </c>
      <c r="J176" s="2" t="n">
        <v>1</v>
      </c>
      <c r="K176" s="2">
        <f>ROUND(I176*J176,2)</f>
        <v/>
      </c>
      <c r="L176" s="2" t="inlineStr">
        <is>
          <t>MED+UNIT?</t>
        </is>
      </c>
      <c r="M176" s="2" t="inlineStr">
        <is>
          <t>250</t>
        </is>
      </c>
    </row>
    <row r="177">
      <c r="A177" s="2" t="inlineStr">
        <is>
          <t>Q</t>
        </is>
      </c>
      <c r="B177" s="2" t="inlineStr">
        <is>
          <t>DRAINAGE SYSTEM</t>
        </is>
      </c>
      <c r="C177" s="2" t="inlineStr">
        <is>
          <t>F</t>
        </is>
      </c>
      <c r="D177" s="2" t="inlineStr">
        <is>
          <t>KE-102, Double Bowl Sink</t>
        </is>
      </c>
      <c r="E177" s="2" t="inlineStr">
        <is>
          <t>No</t>
        </is>
      </c>
      <c r="F177" s="2" t="inlineStr">
        <is>
          <t>Undercounter Sink &amp; Mixer</t>
        </is>
      </c>
      <c r="G177" s="2" t="inlineStr">
        <is>
          <t>S-06</t>
        </is>
      </c>
      <c r="H177" s="2" t="inlineStr">
        <is>
          <t>under counter sink</t>
        </is>
      </c>
      <c r="I177" s="2" t="n">
        <v>140</v>
      </c>
      <c r="J177" s="2" t="n">
        <v>1</v>
      </c>
      <c r="K177" s="2">
        <f>ROUND(I177*J177,2)</f>
        <v/>
      </c>
      <c r="L177" s="2" t="inlineStr">
        <is>
          <t>MED+UNIT?</t>
        </is>
      </c>
      <c r="M177" s="2" t="inlineStr">
        <is>
          <t>250</t>
        </is>
      </c>
    </row>
    <row r="178">
      <c r="A178" s="2" t="inlineStr">
        <is>
          <t>Q</t>
        </is>
      </c>
      <c r="B178" s="2" t="inlineStr">
        <is>
          <t>DRAINAGE SYSTEM</t>
        </is>
      </c>
      <c r="C178" s="2" t="inlineStr">
        <is>
          <t>F</t>
        </is>
      </c>
      <c r="D178" s="2" t="inlineStr">
        <is>
          <t>SW-01, Wash Basin (Sink)</t>
        </is>
      </c>
      <c r="E178" s="2" t="inlineStr">
        <is>
          <t>No</t>
        </is>
      </c>
      <c r="F178" s="2" t="inlineStr">
        <is>
          <t>Undercounter Sink &amp; Mixer</t>
        </is>
      </c>
      <c r="G178" s="2" t="inlineStr">
        <is>
          <t>S-06</t>
        </is>
      </c>
      <c r="H178" s="2" t="inlineStr">
        <is>
          <t>under counter sink</t>
        </is>
      </c>
      <c r="I178" s="2" t="n">
        <v>140</v>
      </c>
      <c r="J178" s="2" t="n">
        <v>1</v>
      </c>
      <c r="K178" s="2">
        <f>ROUND(I178*J178,2)</f>
        <v/>
      </c>
      <c r="L178" s="2" t="inlineStr">
        <is>
          <t>MED+UNIT?</t>
        </is>
      </c>
      <c r="M178" s="2" t="inlineStr">
        <is>
          <t>250</t>
        </is>
      </c>
    </row>
    <row r="179">
      <c r="A179" s="2" t="inlineStr">
        <is>
          <t>Q</t>
        </is>
      </c>
      <c r="B179" s="2" t="inlineStr">
        <is>
          <t>DRAINAGE SYSTEM</t>
        </is>
      </c>
      <c r="C179" s="2" t="inlineStr">
        <is>
          <t>G</t>
        </is>
      </c>
      <c r="D179" s="2" t="inlineStr">
        <is>
          <t>SW-02, Wash Basin Mixer (Single Lever)</t>
        </is>
      </c>
      <c r="E179" s="2" t="inlineStr">
        <is>
          <t>No</t>
        </is>
      </c>
      <c r="F179" s="2" t="inlineStr">
        <is>
          <t>Undercounter Sink &amp; Mixer</t>
        </is>
      </c>
      <c r="G179" s="2" t="inlineStr">
        <is>
          <t>S-06</t>
        </is>
      </c>
      <c r="H179" s="2" t="inlineStr">
        <is>
          <t>under counter sink</t>
        </is>
      </c>
      <c r="I179" s="2" t="n">
        <v>140</v>
      </c>
      <c r="J179" s="2" t="n">
        <v>1</v>
      </c>
      <c r="K179" s="2">
        <f>ROUND(I179*J179,2)</f>
        <v/>
      </c>
      <c r="L179" s="2" t="inlineStr">
        <is>
          <t>MED+UNIT?</t>
        </is>
      </c>
      <c r="M179" s="2" t="inlineStr">
        <is>
          <t>250</t>
        </is>
      </c>
    </row>
    <row r="180">
      <c r="A180" s="2" t="inlineStr">
        <is>
          <t>Q</t>
        </is>
      </c>
      <c r="B180" s="2" t="inlineStr">
        <is>
          <t>DRAINAGE SYSTEM</t>
        </is>
      </c>
      <c r="C180" s="2" t="inlineStr">
        <is>
          <t>J</t>
        </is>
      </c>
      <c r="D180" s="2" t="inlineStr">
        <is>
          <t>SW-201, Undercounter Wash Basin</t>
        </is>
      </c>
      <c r="E180" s="2" t="inlineStr">
        <is>
          <t>No</t>
        </is>
      </c>
      <c r="F180" s="2" t="inlineStr">
        <is>
          <t>Undercounter Sink &amp; Mixer</t>
        </is>
      </c>
      <c r="G180" s="2" t="inlineStr">
        <is>
          <t>S-06</t>
        </is>
      </c>
      <c r="H180" s="2" t="inlineStr">
        <is>
          <t>under counter sink</t>
        </is>
      </c>
      <c r="I180" s="2" t="n">
        <v>140</v>
      </c>
      <c r="J180" s="2" t="n">
        <v>6</v>
      </c>
      <c r="K180" s="2">
        <f>ROUND(I180*J180,2)</f>
        <v/>
      </c>
      <c r="L180" s="2" t="inlineStr">
        <is>
          <t>MED+UNIT?</t>
        </is>
      </c>
      <c r="M180" s="2" t="inlineStr">
        <is>
          <t>250</t>
        </is>
      </c>
    </row>
    <row r="181">
      <c r="A181" s="2" t="inlineStr">
        <is>
          <t>Q</t>
        </is>
      </c>
      <c r="B181" s="2" t="inlineStr">
        <is>
          <t>DRAINAGE SYSTEM</t>
        </is>
      </c>
      <c r="C181" s="2" t="inlineStr">
        <is>
          <t>L</t>
        </is>
      </c>
      <c r="D181" s="2" t="inlineStr">
        <is>
          <t>SW-203, Wall Mounted Wash Basin</t>
        </is>
      </c>
      <c r="E181" s="2" t="inlineStr">
        <is>
          <t>No</t>
        </is>
      </c>
      <c r="F181" s="2" t="inlineStr">
        <is>
          <t>Undercounter Sink &amp; Mixer</t>
        </is>
      </c>
      <c r="G181" s="2" t="inlineStr">
        <is>
          <t>S-06</t>
        </is>
      </c>
      <c r="H181" s="2" t="inlineStr">
        <is>
          <t>under counter sink</t>
        </is>
      </c>
      <c r="I181" s="2" t="n">
        <v>140</v>
      </c>
      <c r="J181" s="2" t="n">
        <v>1</v>
      </c>
      <c r="K181" s="2">
        <f>ROUND(I181*J181,2)</f>
        <v/>
      </c>
      <c r="L181" s="2" t="inlineStr">
        <is>
          <t>MED+UNIT?</t>
        </is>
      </c>
      <c r="M181" s="2" t="inlineStr">
        <is>
          <t>250</t>
        </is>
      </c>
    </row>
    <row r="182">
      <c r="A182" s="2" t="inlineStr">
        <is>
          <t>Q</t>
        </is>
      </c>
      <c r="B182" s="2" t="inlineStr">
        <is>
          <t>DRAINAGE SYSTEM</t>
        </is>
      </c>
      <c r="C182" s="2" t="inlineStr">
        <is>
          <t>M</t>
        </is>
      </c>
      <c r="D182" s="2" t="inlineStr">
        <is>
          <t>SW-201, Undercounter Wash Basin</t>
        </is>
      </c>
      <c r="E182" s="2" t="inlineStr">
        <is>
          <t>No</t>
        </is>
      </c>
      <c r="F182" s="2" t="inlineStr">
        <is>
          <t>Undercounter Sink &amp; Mixer</t>
        </is>
      </c>
      <c r="G182" s="2" t="inlineStr">
        <is>
          <t>S-06</t>
        </is>
      </c>
      <c r="H182" s="2" t="inlineStr">
        <is>
          <t>under counter sink</t>
        </is>
      </c>
      <c r="I182" s="2" t="n">
        <v>140</v>
      </c>
      <c r="J182" s="2" t="n">
        <v>2157</v>
      </c>
      <c r="K182" s="2">
        <f>ROUND(I182*J182,2)</f>
        <v/>
      </c>
      <c r="L182" s="2" t="inlineStr">
        <is>
          <t>MED+UNIT?</t>
        </is>
      </c>
      <c r="M182" s="2" t="inlineStr">
        <is>
          <t>250</t>
        </is>
      </c>
    </row>
    <row r="183">
      <c r="A183" s="2" t="inlineStr">
        <is>
          <t>Q</t>
        </is>
      </c>
      <c r="B183" s="2" t="inlineStr">
        <is>
          <t>DRAINAGE SYSTEM</t>
        </is>
      </c>
      <c r="C183" s="2" t="inlineStr">
        <is>
          <t>N</t>
        </is>
      </c>
      <c r="D183" s="2" t="inlineStr">
        <is>
          <t>SW-205, Janitor's Sink</t>
        </is>
      </c>
      <c r="E183" s="2" t="inlineStr">
        <is>
          <t>No</t>
        </is>
      </c>
      <c r="F183" s="2" t="inlineStr">
        <is>
          <t>Undercounter Sink &amp; Mixer</t>
        </is>
      </c>
      <c r="G183" s="2" t="inlineStr">
        <is>
          <t>S-06</t>
        </is>
      </c>
      <c r="H183" s="2" t="inlineStr">
        <is>
          <t>under counter sink</t>
        </is>
      </c>
      <c r="I183" s="2" t="n">
        <v>140</v>
      </c>
      <c r="J183" s="2" t="n">
        <v>1</v>
      </c>
      <c r="K183" s="2">
        <f>ROUND(I183*J183,2)</f>
        <v/>
      </c>
      <c r="L183" s="2" t="inlineStr">
        <is>
          <t>MED+UNIT?</t>
        </is>
      </c>
      <c r="M183" s="2" t="inlineStr">
        <is>
          <t>250</t>
        </is>
      </c>
    </row>
    <row r="184">
      <c r="A184" s="2" t="inlineStr">
        <is>
          <t>Q</t>
        </is>
      </c>
      <c r="B184" s="2" t="inlineStr">
        <is>
          <t>DRAINAGE SYSTEM</t>
        </is>
      </c>
      <c r="C184" s="2" t="inlineStr">
        <is>
          <t>Q</t>
        </is>
      </c>
      <c r="D184" s="2" t="inlineStr">
        <is>
          <t>SW-204, Wall Mounted Wash Basin</t>
        </is>
      </c>
      <c r="E184" s="2" t="inlineStr">
        <is>
          <t>No</t>
        </is>
      </c>
      <c r="F184" s="2" t="inlineStr">
        <is>
          <t>Undercounter Sink &amp; Mixer</t>
        </is>
      </c>
      <c r="G184" s="2" t="inlineStr">
        <is>
          <t>S-06</t>
        </is>
      </c>
      <c r="H184" s="2" t="inlineStr">
        <is>
          <t>under counter sink</t>
        </is>
      </c>
      <c r="I184" s="2" t="n">
        <v>140</v>
      </c>
      <c r="J184" s="2" t="n">
        <v>547</v>
      </c>
      <c r="K184" s="2">
        <f>ROUND(I184*J184,2)</f>
        <v/>
      </c>
      <c r="L184" s="2" t="inlineStr">
        <is>
          <t>MED+UNIT?</t>
        </is>
      </c>
      <c r="M184" s="2" t="inlineStr">
        <is>
          <t>250</t>
        </is>
      </c>
    </row>
    <row r="185">
      <c r="A185" s="2" t="inlineStr">
        <is>
          <t>Q</t>
        </is>
      </c>
      <c r="B185" s="2" t="inlineStr">
        <is>
          <t>DRAINAGE SYSTEM</t>
        </is>
      </c>
      <c r="C185" s="2" t="inlineStr">
        <is>
          <t>T</t>
        </is>
      </c>
      <c r="D185" s="2" t="inlineStr">
        <is>
          <t>SW-308, Square Floor Drain Cover</t>
        </is>
      </c>
      <c r="E185" s="2" t="inlineStr">
        <is>
          <t>No</t>
        </is>
      </c>
      <c r="F185" s="2" t="inlineStr">
        <is>
          <t>Undercounter Sink &amp; Mixer</t>
        </is>
      </c>
      <c r="G185" s="2" t="inlineStr">
        <is>
          <t>S-21</t>
        </is>
      </c>
      <c r="H185" s="2" t="inlineStr">
        <is>
          <t>square floor drain</t>
        </is>
      </c>
      <c r="I185" s="2" t="n">
        <v>128.5</v>
      </c>
      <c r="J185" s="2" t="n">
        <v>3577</v>
      </c>
      <c r="K185" s="2">
        <f>ROUND(I185*J185,2)</f>
        <v/>
      </c>
      <c r="L185" s="2" t="inlineStr">
        <is>
          <t>MED+UNIT?</t>
        </is>
      </c>
      <c r="M185" s="2" t="inlineStr">
        <is>
          <t>251</t>
        </is>
      </c>
    </row>
  </sheetData>
  <autoFilter ref="A1:M1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2" customWidth="1" min="3" max="3"/>
  </cols>
  <sheetData>
    <row r="1">
      <c r="A1" s="1" t="inlineStr">
        <is>
          <t>Vendor category</t>
        </is>
      </c>
      <c r="B1" s="1" t="inlineStr">
        <is>
          <t>Mapped items</t>
        </is>
      </c>
      <c r="C1" s="1" t="inlineStr">
        <is>
          <t>Sum of (framework rate × cluster qty) AED</t>
        </is>
      </c>
    </row>
    <row r="2">
      <c r="A2" t="inlineStr">
        <is>
          <t>Marble – IMADA</t>
        </is>
      </c>
      <c r="B2" t="n">
        <v>11</v>
      </c>
      <c r="C2" t="n">
        <v>10961775</v>
      </c>
    </row>
    <row r="3">
      <c r="A3" t="inlineStr">
        <is>
          <t>Sanitaryware – Al Futtaim/Reisenberg</t>
        </is>
      </c>
      <c r="B3" t="n">
        <v>9</v>
      </c>
      <c r="C3" t="n">
        <v>729720</v>
      </c>
    </row>
    <row r="4">
      <c r="A4" t="inlineStr">
        <is>
          <t>Ironmongery – Consort/Euroart</t>
        </is>
      </c>
      <c r="B4" t="n">
        <v>1</v>
      </c>
      <c r="C4" t="n">
        <v>13.5</v>
      </c>
    </row>
    <row r="5">
      <c r="A5" t="inlineStr">
        <is>
          <t>Isolators – SCAME</t>
        </is>
      </c>
      <c r="B5" t="n">
        <v>8</v>
      </c>
      <c r="C5" t="n">
        <v>307007.06</v>
      </c>
    </row>
    <row r="6">
      <c r="A6" t="inlineStr">
        <is>
          <t>Light Fittings – LEME/P&amp;S</t>
        </is>
      </c>
      <c r="B6" t="n">
        <v>14</v>
      </c>
      <c r="C6" t="n">
        <v>4377253.4</v>
      </c>
    </row>
    <row r="7">
      <c r="A7" t="inlineStr">
        <is>
          <t>Reconstituted Stone – Granitech</t>
        </is>
      </c>
      <c r="B7" t="n">
        <v>19</v>
      </c>
      <c r="C7" t="n">
        <v>9848712</v>
      </c>
    </row>
    <row r="8">
      <c r="A8" t="inlineStr">
        <is>
          <t>KWH/MDB/DB – Hager</t>
        </is>
      </c>
      <c r="B8" t="n">
        <v>19</v>
      </c>
      <c r="C8" t="n">
        <v>2515325.5</v>
      </c>
    </row>
    <row r="9">
      <c r="A9" t="inlineStr">
        <is>
          <t>Porcelain Tiles – RAK/VitrA</t>
        </is>
      </c>
      <c r="B9" t="n">
        <v>34</v>
      </c>
      <c r="C9" t="n">
        <v>6558349</v>
      </c>
    </row>
    <row r="10">
      <c r="A10" t="inlineStr">
        <is>
          <t>Video Intercom – Comelit</t>
        </is>
      </c>
      <c r="B10" t="n">
        <v>2</v>
      </c>
      <c r="C10" t="n">
        <v>46410</v>
      </c>
    </row>
    <row r="11">
      <c r="A11" t="inlineStr">
        <is>
          <t>Wireless FA – ATEIS</t>
        </is>
      </c>
      <c r="B11" t="n">
        <v>2</v>
      </c>
      <c r="C11" t="n">
        <v>470050</v>
      </c>
    </row>
    <row r="12">
      <c r="A12" t="inlineStr">
        <is>
          <t>Brassware</t>
        </is>
      </c>
      <c r="B12" t="n">
        <v>8</v>
      </c>
      <c r="C12" t="n">
        <v>984130</v>
      </c>
    </row>
    <row r="13">
      <c r="A13" t="inlineStr">
        <is>
          <t>Switches &amp; Sockets</t>
        </is>
      </c>
      <c r="B13" t="n">
        <v>40</v>
      </c>
      <c r="C13" t="n">
        <v>973172.2</v>
      </c>
    </row>
    <row r="14">
      <c r="A14" t="inlineStr">
        <is>
          <t>Undercounter Sink &amp; Mixer</t>
        </is>
      </c>
      <c r="B14" t="n">
        <v>17</v>
      </c>
      <c r="C14" t="n">
        <v>1942271.5</v>
      </c>
    </row>
    <row r="15">
      <c r="A15" s="3" t="inlineStr">
        <is>
          <t>TOTAL (framework-mapped items only)</t>
        </is>
      </c>
      <c r="B15" t="inlineStr"/>
      <c r="C15" s="3" t="n">
        <v>39714189.16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4" t="inlineStr">
        <is>
          <t>GPCR Equiterra TH2 — BOQ take-off for pricing. Quantities: BOQ Rev.02 (TA4), cross-checked vs Rev.01.</t>
        </is>
      </c>
    </row>
    <row r="2">
      <c r="A2" t="inlineStr"/>
    </row>
    <row r="3">
      <c r="A3" t="inlineStr">
        <is>
          <t>Sheet "Take-off manual (1231)": items NOT auto-matched to an Appendix U framework rate.</t>
        </is>
      </c>
    </row>
    <row r="4">
      <c r="A4" t="inlineStr">
        <is>
          <t xml:space="preserve">   • Fill column S "Rate (AED)" — Amount (col T) auto-calculates Rate × Cluster Qty.</t>
        </is>
      </c>
    </row>
    <row r="5">
      <c r="A5" t="inlineStr">
        <is>
          <t xml:space="preserve">   • "Total Qty" = sum of per-unit quantities across the 10 building types (one-of-each, like TH1).</t>
        </is>
      </c>
    </row>
    <row r="6">
      <c r="A6" t="inlineStr">
        <is>
          <t xml:space="preserve">   • "Cluster Qty (×plots)" = per-unit qty × plot counts (21/16/16/23/9/7/18/19/1/1) + Boundary Wall column.</t>
        </is>
      </c>
    </row>
    <row r="7">
      <c r="A7" t="inlineStr"/>
    </row>
    <row r="8">
      <c r="A8" t="inlineStr">
        <is>
          <t>Sheet "Auto-mapped (184)": items matched to framework vendors with a suggested rate.</t>
        </is>
      </c>
    </row>
    <row r="9">
      <c r="A9" t="inlineStr">
        <is>
          <t xml:space="preserve">   • HIGH = exact spec match (amperage/size/model). LOW/MED = family or keyword match — verify against TA1 page ref before use.</t>
        </is>
      </c>
    </row>
    <row r="10">
      <c r="A10" t="inlineStr">
        <is>
          <t xml:space="preserve">   • MDB/DB boards use the family median (exact configs are in the Auto-mapped vendor item column).</t>
        </is>
      </c>
    </row>
    <row r="11">
      <c r="A11" t="inlineStr"/>
    </row>
    <row r="12">
      <c r="A12" t="inlineStr">
        <is>
          <t>Framework-mapped total is indicative only — it covers just these line items, not the cluster sum.</t>
        </is>
      </c>
    </row>
    <row r="13">
      <c r="A13" t="inlineStr">
        <is>
          <t>Prepared by hudhud — 2026-09-16. Source: GPCR Cluster TH2 BOQ (TA4 Rev.02) + TA1 Appendix U rate extraction.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2026-09-16T11:48:20Z</dcterms:created>
  <dcterms:modified xsi:type="dcterms:W3CDTF">2026-09-16T11:48:20Z</dcterms:modified>
</cp:coreProperties>
</file>